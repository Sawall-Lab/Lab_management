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loe.carbonne/Desktop/Lab_management/6_Coral_tissue_analyses/Total_lipid_extraction/"/>
    </mc:Choice>
  </mc:AlternateContent>
  <xr:revisionPtr revIDLastSave="0" documentId="13_ncr:1_{E5C73C7A-644B-1149-901E-C7C0F8685FAB}" xr6:coauthVersionLast="47" xr6:coauthVersionMax="47" xr10:uidLastSave="{00000000-0000-0000-0000-000000000000}"/>
  <bookViews>
    <workbookView xWindow="0" yWindow="740" windowWidth="29400" windowHeight="17220" xr2:uid="{632E0B0C-AC7C-4DBC-AB24-EA2442469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" l="1"/>
  <c r="E29" i="1"/>
  <c r="F29" i="1"/>
  <c r="G29" i="1"/>
  <c r="M29" i="1"/>
  <c r="L29" i="1"/>
  <c r="K29" i="1"/>
  <c r="J29" i="1"/>
  <c r="I29" i="1"/>
  <c r="H29" i="1"/>
  <c r="D29" i="1"/>
  <c r="C29" i="1"/>
  <c r="B29" i="1"/>
  <c r="M28" i="1"/>
  <c r="L28" i="1"/>
  <c r="K28" i="1"/>
  <c r="J28" i="1"/>
  <c r="I28" i="1"/>
  <c r="H28" i="1"/>
  <c r="G28" i="1"/>
  <c r="F28" i="1"/>
  <c r="E28" i="1"/>
  <c r="D28" i="1"/>
  <c r="C28" i="1"/>
  <c r="B28" i="1"/>
  <c r="M27" i="1"/>
  <c r="L27" i="1"/>
  <c r="K27" i="1"/>
  <c r="J27" i="1"/>
  <c r="I27" i="1"/>
  <c r="H27" i="1"/>
  <c r="G27" i="1"/>
  <c r="F27" i="1"/>
  <c r="E27" i="1"/>
  <c r="D27" i="1"/>
  <c r="C27" i="1"/>
  <c r="B27" i="1"/>
  <c r="M26" i="1"/>
  <c r="L26" i="1"/>
  <c r="K26" i="1"/>
  <c r="J26" i="1"/>
  <c r="I26" i="1"/>
  <c r="H26" i="1"/>
  <c r="G26" i="1"/>
  <c r="F26" i="1"/>
  <c r="E26" i="1"/>
  <c r="D26" i="1"/>
  <c r="C26" i="1"/>
  <c r="B26" i="1"/>
  <c r="M25" i="1"/>
  <c r="L25" i="1"/>
  <c r="K25" i="1"/>
  <c r="J25" i="1"/>
  <c r="I25" i="1"/>
  <c r="H25" i="1"/>
  <c r="G25" i="1"/>
  <c r="F25" i="1"/>
  <c r="E25" i="1"/>
  <c r="D25" i="1"/>
  <c r="C25" i="1"/>
  <c r="B25" i="1"/>
  <c r="M24" i="1"/>
  <c r="L24" i="1"/>
  <c r="K24" i="1"/>
  <c r="J24" i="1"/>
  <c r="I24" i="1"/>
  <c r="H24" i="1"/>
  <c r="G24" i="1"/>
  <c r="F24" i="1"/>
  <c r="E24" i="1"/>
  <c r="D24" i="1"/>
  <c r="C24" i="1"/>
  <c r="B24" i="1"/>
  <c r="M23" i="1"/>
  <c r="L23" i="1"/>
  <c r="K23" i="1"/>
  <c r="J23" i="1"/>
  <c r="I23" i="1"/>
  <c r="H23" i="1"/>
  <c r="G23" i="1"/>
  <c r="F23" i="1"/>
  <c r="E23" i="1"/>
  <c r="D23" i="1"/>
  <c r="C23" i="1"/>
  <c r="B23" i="1"/>
  <c r="M22" i="1"/>
  <c r="L22" i="1"/>
  <c r="K22" i="1"/>
  <c r="J22" i="1"/>
  <c r="I22" i="1"/>
  <c r="H22" i="1"/>
  <c r="G22" i="1"/>
  <c r="F22" i="1"/>
  <c r="E22" i="1"/>
  <c r="D22" i="1"/>
  <c r="C22" i="1"/>
  <c r="B22" i="1"/>
  <c r="D39" i="1" l="1"/>
  <c r="D52" i="1" s="1"/>
  <c r="J36" i="1"/>
  <c r="J49" i="1" s="1"/>
  <c r="F35" i="1"/>
  <c r="F48" i="1" s="1"/>
  <c r="F33" i="1"/>
  <c r="F46" i="1" s="1"/>
  <c r="B35" i="1"/>
  <c r="B48" i="1" s="1"/>
  <c r="M34" i="1"/>
  <c r="M47" i="1" s="1"/>
  <c r="G39" i="1"/>
  <c r="G52" i="1" s="1"/>
  <c r="F39" i="1"/>
  <c r="F52" i="1" s="1"/>
  <c r="F37" i="1"/>
  <c r="F50" i="1" s="1"/>
  <c r="B36" i="1"/>
  <c r="B49" i="1" s="1"/>
  <c r="J34" i="1"/>
  <c r="J47" i="1" s="1"/>
  <c r="B34" i="1"/>
  <c r="B47" i="1" s="1"/>
  <c r="J32" i="1"/>
  <c r="J45" i="1" s="1"/>
  <c r="B32" i="1"/>
  <c r="B45" i="1" s="1"/>
  <c r="F36" i="1"/>
  <c r="F49" i="1" s="1"/>
  <c r="J33" i="1"/>
  <c r="J46" i="1" s="1"/>
  <c r="F32" i="1"/>
  <c r="F45" i="1" s="1"/>
  <c r="M38" i="1"/>
  <c r="M51" i="1" s="1"/>
  <c r="M36" i="1"/>
  <c r="M49" i="1" s="1"/>
  <c r="E34" i="1"/>
  <c r="E47" i="1" s="1"/>
  <c r="E32" i="1"/>
  <c r="E45" i="1" s="1"/>
  <c r="E39" i="1"/>
  <c r="E52" i="1" s="1"/>
  <c r="K37" i="1"/>
  <c r="K50" i="1" s="1"/>
  <c r="G36" i="1"/>
  <c r="G49" i="1" s="1"/>
  <c r="C35" i="1"/>
  <c r="C48" i="1" s="1"/>
  <c r="K33" i="1"/>
  <c r="K46" i="1" s="1"/>
  <c r="F38" i="1"/>
  <c r="F51" i="1" s="1"/>
  <c r="B33" i="1"/>
  <c r="B46" i="1" s="1"/>
  <c r="E36" i="1"/>
  <c r="E49" i="1" s="1"/>
  <c r="C37" i="1"/>
  <c r="C50" i="1" s="1"/>
  <c r="K35" i="1"/>
  <c r="K48" i="1" s="1"/>
  <c r="G34" i="1"/>
  <c r="G47" i="1" s="1"/>
  <c r="C33" i="1"/>
  <c r="C46" i="1" s="1"/>
  <c r="G32" i="1"/>
  <c r="G45" i="1" s="1"/>
  <c r="B39" i="1"/>
  <c r="B52" i="1" s="1"/>
  <c r="J37" i="1"/>
  <c r="J50" i="1" s="1"/>
  <c r="B37" i="1"/>
  <c r="B50" i="1" s="1"/>
  <c r="J35" i="1"/>
  <c r="J48" i="1" s="1"/>
  <c r="F34" i="1"/>
  <c r="E38" i="1"/>
  <c r="E51" i="1" s="1"/>
  <c r="B61" i="1" s="1"/>
  <c r="I37" i="1"/>
  <c r="I50" i="1" s="1"/>
  <c r="I35" i="1"/>
  <c r="I48" i="1" s="1"/>
  <c r="I33" i="1"/>
  <c r="I46" i="1" s="1"/>
  <c r="M32" i="1"/>
  <c r="M45" i="1" s="1"/>
  <c r="D33" i="1"/>
  <c r="D46" i="1" s="1"/>
  <c r="D35" i="1"/>
  <c r="D48" i="1" s="1"/>
  <c r="D37" i="1"/>
  <c r="D50" i="1" s="1"/>
  <c r="I32" i="1"/>
  <c r="I45" i="1" s="1"/>
  <c r="I34" i="1"/>
  <c r="I47" i="1" s="1"/>
  <c r="I36" i="1"/>
  <c r="I49" i="1" s="1"/>
  <c r="M37" i="1"/>
  <c r="M50" i="1" s="1"/>
  <c r="J38" i="1"/>
  <c r="J51" i="1" s="1"/>
  <c r="C32" i="1"/>
  <c r="C45" i="1" s="1"/>
  <c r="C34" i="1"/>
  <c r="C47" i="1" s="1"/>
  <c r="C36" i="1"/>
  <c r="C49" i="1" s="1"/>
  <c r="C38" i="1"/>
  <c r="C51" i="1" s="1"/>
  <c r="H33" i="1"/>
  <c r="H46" i="1" s="1"/>
  <c r="L36" i="1"/>
  <c r="L49" i="1" s="1"/>
  <c r="K39" i="1"/>
  <c r="K52" i="1" s="1"/>
  <c r="G38" i="1"/>
  <c r="G51" i="1" s="1"/>
  <c r="L33" i="1"/>
  <c r="L46" i="1" s="1"/>
  <c r="L35" i="1"/>
  <c r="L48" i="1" s="1"/>
  <c r="L37" i="1"/>
  <c r="L50" i="1" s="1"/>
  <c r="M33" i="1"/>
  <c r="M46" i="1" s="1"/>
  <c r="E35" i="1"/>
  <c r="E48" i="1" s="1"/>
  <c r="E37" i="1"/>
  <c r="E50" i="1" s="1"/>
  <c r="H39" i="1"/>
  <c r="H52" i="1" s="1"/>
  <c r="B38" i="1"/>
  <c r="B51" i="1" s="1"/>
  <c r="G33" i="1"/>
  <c r="G46" i="1" s="1"/>
  <c r="G35" i="1"/>
  <c r="G48" i="1" s="1"/>
  <c r="G37" i="1"/>
  <c r="G50" i="1" s="1"/>
  <c r="J39" i="1"/>
  <c r="J52" i="1" s="1"/>
  <c r="L32" i="1"/>
  <c r="L45" i="1" s="1"/>
  <c r="L34" i="1"/>
  <c r="L47" i="1" s="1"/>
  <c r="D36" i="1"/>
  <c r="D49" i="1" s="1"/>
  <c r="D38" i="1"/>
  <c r="D51" i="1" s="1"/>
  <c r="L39" i="1"/>
  <c r="L52" i="1" s="1"/>
  <c r="H32" i="1"/>
  <c r="H45" i="1" s="1"/>
  <c r="H34" i="1"/>
  <c r="H47" i="1" s="1"/>
  <c r="H36" i="1"/>
  <c r="H49" i="1" s="1"/>
  <c r="H38" i="1"/>
  <c r="H51" i="1" s="1"/>
  <c r="E33" i="1"/>
  <c r="E46" i="1" s="1"/>
  <c r="M35" i="1"/>
  <c r="M48" i="1" s="1"/>
  <c r="I38" i="1"/>
  <c r="I51" i="1" s="1"/>
  <c r="I39" i="1"/>
  <c r="I52" i="1" s="1"/>
  <c r="K32" i="1"/>
  <c r="K45" i="1" s="1"/>
  <c r="K34" i="1"/>
  <c r="K47" i="1" s="1"/>
  <c r="K36" i="1"/>
  <c r="K49" i="1" s="1"/>
  <c r="K38" i="1"/>
  <c r="K51" i="1" s="1"/>
  <c r="D32" i="1"/>
  <c r="D45" i="1" s="1"/>
  <c r="D34" i="1"/>
  <c r="D47" i="1" s="1"/>
  <c r="H35" i="1"/>
  <c r="H48" i="1" s="1"/>
  <c r="H37" i="1"/>
  <c r="H50" i="1" s="1"/>
  <c r="L38" i="1"/>
  <c r="L51" i="1" s="1"/>
  <c r="M39" i="1"/>
  <c r="M52" i="1" s="1"/>
  <c r="C39" i="1"/>
  <c r="C52" i="1" s="1"/>
  <c r="B57" i="1" l="1"/>
  <c r="B62" i="1"/>
  <c r="C62" i="1"/>
  <c r="J61" i="1"/>
  <c r="G59" i="1"/>
  <c r="F59" i="1"/>
  <c r="C61" i="1"/>
  <c r="K57" i="1"/>
  <c r="J57" i="1"/>
  <c r="F57" i="1"/>
  <c r="G57" i="1"/>
  <c r="K58" i="1"/>
  <c r="J58" i="1"/>
  <c r="L58" i="1" s="1"/>
  <c r="K60" i="1"/>
  <c r="J60" i="1"/>
  <c r="L60" i="1" s="1"/>
  <c r="F60" i="1"/>
  <c r="G60" i="1"/>
  <c r="G58" i="1"/>
  <c r="F58" i="1"/>
  <c r="H58" i="1" s="1"/>
  <c r="C57" i="1"/>
  <c r="G62" i="1"/>
  <c r="F62" i="1"/>
  <c r="K62" i="1"/>
  <c r="J62" i="1"/>
  <c r="L62" i="1" s="1"/>
  <c r="K59" i="1"/>
  <c r="J59" i="1"/>
  <c r="G55" i="1"/>
  <c r="F55" i="1"/>
  <c r="C56" i="1"/>
  <c r="B56" i="1"/>
  <c r="D56" i="1" s="1"/>
  <c r="B60" i="1"/>
  <c r="D60" i="1" s="1"/>
  <c r="C60" i="1"/>
  <c r="K56" i="1"/>
  <c r="J56" i="1"/>
  <c r="K55" i="1"/>
  <c r="J55" i="1"/>
  <c r="L55" i="1" s="1"/>
  <c r="C59" i="1"/>
  <c r="B59" i="1"/>
  <c r="C55" i="1"/>
  <c r="B55" i="1"/>
  <c r="K61" i="1"/>
  <c r="F61" i="1"/>
  <c r="G61" i="1"/>
  <c r="C58" i="1"/>
  <c r="B58" i="1"/>
  <c r="G56" i="1"/>
  <c r="F56" i="1"/>
  <c r="H56" i="1" s="1"/>
</calcChain>
</file>

<file path=xl/sharedStrings.xml><?xml version="1.0" encoding="utf-8"?>
<sst xmlns="http://schemas.openxmlformats.org/spreadsheetml/2006/main" count="73" uniqueCount="39">
  <si>
    <t>A</t>
  </si>
  <si>
    <t>B</t>
  </si>
  <si>
    <t>C</t>
  </si>
  <si>
    <t>D</t>
  </si>
  <si>
    <t>E</t>
  </si>
  <si>
    <t>F</t>
  </si>
  <si>
    <t>G</t>
  </si>
  <si>
    <t>H</t>
  </si>
  <si>
    <t>blank</t>
  </si>
  <si>
    <t>F2A</t>
  </si>
  <si>
    <t>F2G</t>
  </si>
  <si>
    <t>F2N</t>
  </si>
  <si>
    <t>F2P</t>
  </si>
  <si>
    <t>F3B</t>
  </si>
  <si>
    <t>F3J</t>
  </si>
  <si>
    <t>F3K</t>
  </si>
  <si>
    <t>F3M</t>
  </si>
  <si>
    <t>F4D</t>
  </si>
  <si>
    <t>F4H</t>
  </si>
  <si>
    <t>F5B</t>
  </si>
  <si>
    <t>F5G</t>
  </si>
  <si>
    <t>F5O</t>
  </si>
  <si>
    <t>F6C</t>
  </si>
  <si>
    <t>F6L</t>
  </si>
  <si>
    <t>F6M</t>
  </si>
  <si>
    <t>F7H</t>
  </si>
  <si>
    <t>F7K</t>
  </si>
  <si>
    <t>F8F</t>
  </si>
  <si>
    <t>F8J</t>
  </si>
  <si>
    <t>F8M</t>
  </si>
  <si>
    <t>F9H</t>
  </si>
  <si>
    <t>F9L</t>
  </si>
  <si>
    <t>F9M</t>
  </si>
  <si>
    <t>50 uL instead of 100 uL</t>
  </si>
  <si>
    <t>outlier</t>
  </si>
  <si>
    <t>Coral ID</t>
  </si>
  <si>
    <t>Standard</t>
  </si>
  <si>
    <t>Absorbance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</si>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</sst>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7030A0"/>
      </left>
      <right style="thin">
        <color rgb="FF000000"/>
      </right>
      <top style="medium">
        <color rgb="FF7030A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7030A0"/>
      </top>
      <bottom style="thin">
        <color rgb="FF000000"/>
      </bottom>
      <diagonal/>
    </border>
    <border>
      <left style="thin">
        <color rgb="FF000000"/>
      </left>
      <right style="medium">
        <color rgb="FF7030A0"/>
      </right>
      <top style="medium">
        <color rgb="FF7030A0"/>
      </top>
      <bottom style="thin">
        <color rgb="FF000000"/>
      </bottom>
      <diagonal/>
    </border>
    <border>
      <left style="medium">
        <color rgb="FF7030A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7030A0"/>
      </right>
      <top style="thin">
        <color rgb="FF000000"/>
      </top>
      <bottom style="thin">
        <color rgb="FF000000"/>
      </bottom>
      <diagonal/>
    </border>
    <border>
      <left style="medium">
        <color rgb="FF7030A0"/>
      </left>
      <right style="thin">
        <color rgb="FF000000"/>
      </right>
      <top style="thin">
        <color rgb="FF000000"/>
      </top>
      <bottom style="medium">
        <color rgb="FF7030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7030A0"/>
      </bottom>
      <diagonal/>
    </border>
    <border>
      <left style="thin">
        <color rgb="FF000000"/>
      </left>
      <right style="medium">
        <color rgb="FF7030A0"/>
      </right>
      <top style="thin">
        <color rgb="FF000000"/>
      </top>
      <bottom style="medium">
        <color rgb="FF7030A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17" borderId="0" xfId="0" applyFill="1"/>
    <xf numFmtId="0" fontId="0" fillId="18" borderId="0" xfId="0" applyFill="1"/>
    <xf numFmtId="0" fontId="2" fillId="19" borderId="1" xfId="0" applyFont="1" applyFill="1" applyBorder="1" applyAlignment="1">
      <alignment horizontal="center" vertical="center" wrapText="1"/>
    </xf>
    <xf numFmtId="0" fontId="0" fillId="19" borderId="0" xfId="0" applyFill="1"/>
    <xf numFmtId="0" fontId="1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13" borderId="11" xfId="0" applyFont="1" applyFill="1" applyBorder="1" applyAlignment="1">
      <alignment horizontal="center" vertical="center" wrapText="1"/>
    </xf>
    <xf numFmtId="0" fontId="2" fillId="13" borderId="12" xfId="0" applyFont="1" applyFill="1" applyBorder="1" applyAlignment="1">
      <alignment horizontal="center" vertical="center" wrapText="1"/>
    </xf>
    <xf numFmtId="0" fontId="2" fillId="13" borderId="1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8" xfId="0" applyFont="1" applyFill="1" applyBorder="1" applyAlignment="1">
      <alignment horizontal="center" vertical="center" wrapText="1"/>
    </xf>
    <xf numFmtId="0" fontId="2" fillId="14" borderId="10" xfId="0" applyFont="1" applyFill="1" applyBorder="1" applyAlignment="1">
      <alignment horizontal="center" vertical="center" wrapText="1"/>
    </xf>
    <xf numFmtId="0" fontId="2" fillId="16" borderId="10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2" fillId="13" borderId="1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19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M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M"/>
                </a:p>
              </c:txPr>
            </c:trendlineLbl>
          </c:trendline>
          <c:xVal>
            <c:numRef>
              <c:f>Sheet1!$S$20:$S$43</c:f>
              <c:numCache>
                <c:formatCode>General</c:formatCode>
                <c:ptCount val="24"/>
                <c:pt idx="0">
                  <c:v>2</c:v>
                </c:pt>
                <c:pt idx="1">
                  <c:v>1.5</c:v>
                </c:pt>
                <c:pt idx="2">
                  <c:v>1.25</c:v>
                </c:pt>
                <c:pt idx="3">
                  <c:v>1</c:v>
                </c:pt>
                <c:pt idx="4">
                  <c:v>0.5</c:v>
                </c:pt>
                <c:pt idx="5">
                  <c:v>0.25</c:v>
                </c:pt>
                <c:pt idx="6">
                  <c:v>0.125</c:v>
                </c:pt>
                <c:pt idx="7">
                  <c:v>0</c:v>
                </c:pt>
                <c:pt idx="8">
                  <c:v>2</c:v>
                </c:pt>
                <c:pt idx="9">
                  <c:v>1.5</c:v>
                </c:pt>
                <c:pt idx="10">
                  <c:v>1.25</c:v>
                </c:pt>
                <c:pt idx="11">
                  <c:v>1</c:v>
                </c:pt>
                <c:pt idx="12">
                  <c:v>0.5</c:v>
                </c:pt>
                <c:pt idx="13">
                  <c:v>0.25</c:v>
                </c:pt>
                <c:pt idx="14">
                  <c:v>0.125</c:v>
                </c:pt>
                <c:pt idx="15">
                  <c:v>0</c:v>
                </c:pt>
                <c:pt idx="16">
                  <c:v>2</c:v>
                </c:pt>
                <c:pt idx="17">
                  <c:v>1.5</c:v>
                </c:pt>
                <c:pt idx="18">
                  <c:v>1.25</c:v>
                </c:pt>
                <c:pt idx="19">
                  <c:v>1</c:v>
                </c:pt>
                <c:pt idx="20">
                  <c:v>0.5</c:v>
                </c:pt>
                <c:pt idx="21">
                  <c:v>0.25</c:v>
                </c:pt>
                <c:pt idx="22">
                  <c:v>0.125</c:v>
                </c:pt>
                <c:pt idx="23">
                  <c:v>0</c:v>
                </c:pt>
              </c:numCache>
            </c:numRef>
          </c:xVal>
          <c:yVal>
            <c:numRef>
              <c:f>Sheet1!$T$20:$T$43</c:f>
              <c:numCache>
                <c:formatCode>General</c:formatCode>
                <c:ptCount val="24"/>
                <c:pt idx="0">
                  <c:v>1.6393333333333331</c:v>
                </c:pt>
                <c:pt idx="2">
                  <c:v>1.210333333333333</c:v>
                </c:pt>
                <c:pt idx="3">
                  <c:v>1.1003333333333332</c:v>
                </c:pt>
                <c:pt idx="4">
                  <c:v>0.62633333333333341</c:v>
                </c:pt>
                <c:pt idx="5">
                  <c:v>0.41833333333333333</c:v>
                </c:pt>
                <c:pt idx="6">
                  <c:v>0.19833333333333333</c:v>
                </c:pt>
                <c:pt idx="7">
                  <c:v>-2.6666666666666658E-2</c:v>
                </c:pt>
                <c:pt idx="10">
                  <c:v>1.1793333333333333</c:v>
                </c:pt>
                <c:pt idx="11">
                  <c:v>0.97933333333333339</c:v>
                </c:pt>
                <c:pt idx="12">
                  <c:v>0.69733333333333336</c:v>
                </c:pt>
                <c:pt idx="13">
                  <c:v>0.41033333333333333</c:v>
                </c:pt>
                <c:pt idx="14">
                  <c:v>0.22433333333333333</c:v>
                </c:pt>
                <c:pt idx="15">
                  <c:v>-9.6666666666666845E-3</c:v>
                </c:pt>
                <c:pt idx="18">
                  <c:v>1.2763333333333333</c:v>
                </c:pt>
                <c:pt idx="19">
                  <c:v>0.97433333333333327</c:v>
                </c:pt>
                <c:pt idx="20">
                  <c:v>0.67433333333333334</c:v>
                </c:pt>
                <c:pt idx="21">
                  <c:v>0.38933333333333342</c:v>
                </c:pt>
                <c:pt idx="22">
                  <c:v>0.25333333333333335</c:v>
                </c:pt>
                <c:pt idx="23">
                  <c:v>3.6333333333333329E-2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D64C-A67F-2913084B0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550751"/>
        <c:axId val="1260849631"/>
      </c:scatterChart>
      <c:valAx>
        <c:axId val="126055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M"/>
          </a:p>
        </c:txPr>
        <c:crossAx val="1260849631"/>
        <c:crosses val="autoZero"/>
        <c:crossBetween val="midCat"/>
      </c:valAx>
      <c:valAx>
        <c:axId val="126084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M"/>
          </a:p>
        </c:txPr>
        <c:crossAx val="126055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M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361950</xdr:colOff>
      <xdr:row>23</xdr:row>
      <xdr:rowOff>152400</xdr:rowOff>
    </xdr:from>
    <xdr:to>
      <xdr:col>27</xdr:col>
      <xdr:colOff>222250</xdr:colOff>
      <xdr:row>38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DEAF7C-A888-63C3-4AB1-588BD3712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93CA-E39C-47B3-842E-9CE5C16A93E5}">
  <dimension ref="A1:T67"/>
  <sheetViews>
    <sheetView tabSelected="1" topLeftCell="A15" workbookViewId="0">
      <selection activeCell="P28" sqref="P28"/>
    </sheetView>
  </sheetViews>
  <sheetFormatPr baseColWidth="10" defaultColWidth="8.83203125" defaultRowHeight="15" x14ac:dyDescent="0.2"/>
  <cols>
    <col min="18" max="18" width="8.83203125" customWidth="1"/>
    <col min="19" max="19" width="11.83203125" customWidth="1"/>
  </cols>
  <sheetData>
    <row r="1" spans="1:14" ht="16" thickBot="1" x14ac:dyDescent="0.25">
      <c r="A1" s="1"/>
      <c r="B1" s="26">
        <v>1</v>
      </c>
      <c r="C1" s="26">
        <v>2</v>
      </c>
      <c r="D1" s="26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1" t="s">
        <v>0</v>
      </c>
      <c r="B2" s="27">
        <v>2.6019999999999999</v>
      </c>
      <c r="C2" s="28">
        <v>2.391</v>
      </c>
      <c r="D2" s="29">
        <v>1.524</v>
      </c>
      <c r="E2" s="22">
        <v>0.443</v>
      </c>
      <c r="F2" s="4">
        <v>0.45900000000000002</v>
      </c>
      <c r="G2" s="4">
        <v>0.52200000000000002</v>
      </c>
      <c r="H2" s="3">
        <v>0.309</v>
      </c>
      <c r="I2" s="3">
        <v>0.30499999999999999</v>
      </c>
      <c r="J2" s="3">
        <v>0.307</v>
      </c>
      <c r="K2" s="5">
        <v>0.76</v>
      </c>
      <c r="L2" s="6">
        <v>0.84099999999999997</v>
      </c>
      <c r="M2" s="5">
        <v>0.71599999999999997</v>
      </c>
      <c r="N2" s="7">
        <v>540</v>
      </c>
    </row>
    <row r="3" spans="1:14" x14ac:dyDescent="0.2">
      <c r="A3" s="21" t="s">
        <v>1</v>
      </c>
      <c r="B3" s="30">
        <v>2.12</v>
      </c>
      <c r="C3" s="9">
        <v>2.0219999999999998</v>
      </c>
      <c r="D3" s="31">
        <v>2.0299999999999998</v>
      </c>
      <c r="E3" s="23">
        <v>1.0089999999999999</v>
      </c>
      <c r="F3" s="6">
        <v>0.97599999999999998</v>
      </c>
      <c r="G3" s="6">
        <v>0.97</v>
      </c>
      <c r="H3" s="3">
        <v>0.39300000000000002</v>
      </c>
      <c r="I3" s="3">
        <v>0.39200000000000002</v>
      </c>
      <c r="J3" s="3">
        <v>0.35799999999999998</v>
      </c>
      <c r="K3" s="11">
        <v>0.218</v>
      </c>
      <c r="L3" s="11">
        <v>0.20300000000000001</v>
      </c>
      <c r="M3" s="11">
        <v>0.20799999999999999</v>
      </c>
      <c r="N3" s="7">
        <v>540</v>
      </c>
    </row>
    <row r="4" spans="1:14" x14ac:dyDescent="0.2">
      <c r="A4" s="21" t="s">
        <v>2</v>
      </c>
      <c r="B4" s="32">
        <v>1.88</v>
      </c>
      <c r="C4" s="12">
        <v>1.881</v>
      </c>
      <c r="D4" s="31">
        <v>1.944</v>
      </c>
      <c r="E4" s="24">
        <v>0.54800000000000004</v>
      </c>
      <c r="F4" s="10">
        <v>1.0149999999999999</v>
      </c>
      <c r="G4" s="4">
        <v>0.50900000000000001</v>
      </c>
      <c r="H4" s="4">
        <v>0.45500000000000002</v>
      </c>
      <c r="I4" s="4">
        <v>0.46800000000000003</v>
      </c>
      <c r="J4" s="3">
        <v>0.42199999999999999</v>
      </c>
      <c r="K4" s="3">
        <v>0.378</v>
      </c>
      <c r="L4" s="3">
        <v>0.40100000000000002</v>
      </c>
      <c r="M4" s="3">
        <v>0.36899999999999999</v>
      </c>
      <c r="N4" s="7">
        <v>540</v>
      </c>
    </row>
    <row r="5" spans="1:14" x14ac:dyDescent="0.2">
      <c r="A5" s="21" t="s">
        <v>3</v>
      </c>
      <c r="B5" s="33">
        <v>1.6679999999999999</v>
      </c>
      <c r="C5" s="13">
        <v>1.506</v>
      </c>
      <c r="D5" s="34">
        <v>1.47</v>
      </c>
      <c r="E5" s="22">
        <v>0.371</v>
      </c>
      <c r="F5" s="3">
        <v>0.375</v>
      </c>
      <c r="G5" s="3">
        <v>0.4</v>
      </c>
      <c r="H5" s="5">
        <v>0.67400000000000004</v>
      </c>
      <c r="I5" s="5">
        <v>0.628</v>
      </c>
      <c r="J5" s="4">
        <v>0.56899999999999995</v>
      </c>
      <c r="K5" s="4">
        <v>0.47599999999999998</v>
      </c>
      <c r="L5" s="4">
        <v>0.48399999999999999</v>
      </c>
      <c r="M5" s="4">
        <v>0.45900000000000002</v>
      </c>
      <c r="N5" s="7">
        <v>540</v>
      </c>
    </row>
    <row r="6" spans="1:14" x14ac:dyDescent="0.2">
      <c r="A6" s="21" t="s">
        <v>4</v>
      </c>
      <c r="B6" s="35">
        <v>0.90700000000000003</v>
      </c>
      <c r="C6" s="10">
        <v>0.998</v>
      </c>
      <c r="D6" s="36">
        <v>0.95799999999999996</v>
      </c>
      <c r="E6" s="25">
        <v>0.67600000000000005</v>
      </c>
      <c r="F6" s="4">
        <v>0.57899999999999996</v>
      </c>
      <c r="G6" s="5">
        <v>0.64400000000000002</v>
      </c>
      <c r="H6" s="6">
        <v>0.81699999999999995</v>
      </c>
      <c r="I6" s="5">
        <v>0.77900000000000003</v>
      </c>
      <c r="J6" s="5">
        <v>0.73199999999999998</v>
      </c>
      <c r="K6" s="4">
        <v>0.61299999999999999</v>
      </c>
      <c r="L6" s="5">
        <v>0.64400000000000002</v>
      </c>
      <c r="M6" s="4">
        <v>0.60499999999999998</v>
      </c>
      <c r="N6" s="7">
        <v>540</v>
      </c>
    </row>
    <row r="7" spans="1:14" x14ac:dyDescent="0.2">
      <c r="A7" s="21" t="s">
        <v>5</v>
      </c>
      <c r="B7" s="37">
        <v>0.6</v>
      </c>
      <c r="C7" s="4">
        <v>0.56299999999999994</v>
      </c>
      <c r="D7" s="38">
        <v>0.54300000000000004</v>
      </c>
      <c r="E7" s="25">
        <v>0.69199999999999995</v>
      </c>
      <c r="F7" s="5">
        <v>0.71699999999999997</v>
      </c>
      <c r="G7" s="5">
        <v>0.75600000000000001</v>
      </c>
      <c r="H7" s="11">
        <v>0.214</v>
      </c>
      <c r="I7" s="11">
        <v>0.20699999999999999</v>
      </c>
      <c r="J7" s="11">
        <v>0.19600000000000001</v>
      </c>
      <c r="K7" s="10">
        <v>0.98799999999999999</v>
      </c>
      <c r="L7" s="6">
        <v>0.98</v>
      </c>
      <c r="M7" s="6">
        <v>0.97199999999999998</v>
      </c>
      <c r="N7" s="7">
        <v>540</v>
      </c>
    </row>
    <row r="8" spans="1:14" x14ac:dyDescent="0.2">
      <c r="A8" s="21" t="s">
        <v>6</v>
      </c>
      <c r="B8" s="39">
        <v>0.307</v>
      </c>
      <c r="C8" s="3">
        <v>0.30399999999999999</v>
      </c>
      <c r="D8" s="40">
        <v>0.33200000000000002</v>
      </c>
      <c r="E8" s="22">
        <v>0.42599999999999999</v>
      </c>
      <c r="F8" s="3">
        <v>0.437</v>
      </c>
      <c r="G8" s="3">
        <v>0.41399999999999998</v>
      </c>
      <c r="H8" s="3">
        <v>0.40600000000000003</v>
      </c>
      <c r="I8" s="3">
        <v>0.41199999999999998</v>
      </c>
      <c r="J8" s="3">
        <v>0.36299999999999999</v>
      </c>
      <c r="K8" s="4">
        <v>0.58199999999999996</v>
      </c>
      <c r="L8" s="4">
        <v>0.53600000000000003</v>
      </c>
      <c r="M8" s="4">
        <v>0.55100000000000005</v>
      </c>
      <c r="N8" s="7">
        <v>540</v>
      </c>
    </row>
    <row r="9" spans="1:14" ht="16" thickBot="1" x14ac:dyDescent="0.25">
      <c r="A9" s="21" t="s">
        <v>7</v>
      </c>
      <c r="B9" s="41">
        <v>0.114</v>
      </c>
      <c r="C9" s="42">
        <v>9.2999999999999999E-2</v>
      </c>
      <c r="D9" s="43">
        <v>8.5000000000000006E-2</v>
      </c>
      <c r="E9" s="23">
        <v>0.98899999999999999</v>
      </c>
      <c r="F9" s="10">
        <v>1.014</v>
      </c>
      <c r="G9" s="10">
        <v>1.0149999999999999</v>
      </c>
      <c r="H9" s="4">
        <v>0.52700000000000002</v>
      </c>
      <c r="I9" s="4">
        <v>0.52300000000000002</v>
      </c>
      <c r="J9" s="4">
        <v>0.51300000000000001</v>
      </c>
      <c r="K9" s="10">
        <v>0.99399999999999999</v>
      </c>
      <c r="L9" s="6">
        <v>0.95299999999999996</v>
      </c>
      <c r="M9" s="10">
        <v>0.98599999999999999</v>
      </c>
      <c r="N9" s="7">
        <v>540</v>
      </c>
    </row>
    <row r="11" spans="1:14" ht="16" thickBot="1" x14ac:dyDescent="0.25">
      <c r="A11" s="1"/>
      <c r="B11" s="26">
        <v>1</v>
      </c>
      <c r="C11" s="26">
        <v>2</v>
      </c>
      <c r="D11" s="26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">
      <c r="A12" s="21" t="s">
        <v>0</v>
      </c>
      <c r="B12" s="27">
        <v>1.026</v>
      </c>
      <c r="C12" s="28">
        <v>0.95399999999999996</v>
      </c>
      <c r="D12" s="45">
        <v>0.56200000000000006</v>
      </c>
      <c r="E12" s="44">
        <v>0.157</v>
      </c>
      <c r="F12" s="11">
        <v>0.157</v>
      </c>
      <c r="G12" s="3">
        <v>0.17399999999999999</v>
      </c>
      <c r="H12" s="11">
        <v>0.13</v>
      </c>
      <c r="I12" s="11">
        <v>0.127</v>
      </c>
      <c r="J12" s="11">
        <v>0.13</v>
      </c>
      <c r="K12" s="3">
        <v>0.224</v>
      </c>
      <c r="L12" s="3">
        <v>0.23</v>
      </c>
      <c r="M12" s="3">
        <v>0.218</v>
      </c>
      <c r="N12" s="7">
        <v>540</v>
      </c>
    </row>
    <row r="13" spans="1:14" x14ac:dyDescent="0.2">
      <c r="A13" s="21" t="s">
        <v>1</v>
      </c>
      <c r="B13" s="30">
        <v>0.875</v>
      </c>
      <c r="C13" s="8">
        <v>0.83699999999999997</v>
      </c>
      <c r="D13" s="31">
        <v>0.78600000000000003</v>
      </c>
      <c r="E13" s="24">
        <v>0.29699999999999999</v>
      </c>
      <c r="F13" s="4">
        <v>0.26700000000000002</v>
      </c>
      <c r="G13" s="4">
        <v>0.26900000000000002</v>
      </c>
      <c r="H13" s="11">
        <v>0.14000000000000001</v>
      </c>
      <c r="I13" s="11">
        <v>0.14000000000000001</v>
      </c>
      <c r="J13" s="11">
        <v>0.14000000000000001</v>
      </c>
      <c r="K13" s="11">
        <v>0.107</v>
      </c>
      <c r="L13" s="11">
        <v>0.10299999999999999</v>
      </c>
      <c r="M13" s="11">
        <v>0.106</v>
      </c>
      <c r="N13" s="7">
        <v>540</v>
      </c>
    </row>
    <row r="14" spans="1:14" x14ac:dyDescent="0.2">
      <c r="A14" s="21" t="s">
        <v>2</v>
      </c>
      <c r="B14" s="32">
        <v>0.73299999999999998</v>
      </c>
      <c r="C14" s="9">
        <v>0.76500000000000001</v>
      </c>
      <c r="D14" s="46">
        <v>0.73099999999999998</v>
      </c>
      <c r="E14" s="22">
        <v>0.192</v>
      </c>
      <c r="F14" s="5">
        <v>0.34899999999999998</v>
      </c>
      <c r="G14" s="3">
        <v>0.191</v>
      </c>
      <c r="H14" s="11">
        <v>0.16300000000000001</v>
      </c>
      <c r="I14" s="11">
        <v>0.16800000000000001</v>
      </c>
      <c r="J14" s="11">
        <v>0.16700000000000001</v>
      </c>
      <c r="K14" s="11">
        <v>0.14599999999999999</v>
      </c>
      <c r="L14" s="11">
        <v>0.152</v>
      </c>
      <c r="M14" s="11">
        <v>0.14799999999999999</v>
      </c>
      <c r="N14" s="7">
        <v>540</v>
      </c>
    </row>
    <row r="15" spans="1:14" x14ac:dyDescent="0.2">
      <c r="A15" s="21" t="s">
        <v>3</v>
      </c>
      <c r="B15" s="33">
        <v>0.63100000000000001</v>
      </c>
      <c r="C15" s="13">
        <v>0.59</v>
      </c>
      <c r="D15" s="47">
        <v>0.55900000000000005</v>
      </c>
      <c r="E15" s="44">
        <v>0.14899999999999999</v>
      </c>
      <c r="F15" s="11">
        <v>0.14599999999999999</v>
      </c>
      <c r="G15" s="11">
        <v>0.154</v>
      </c>
      <c r="H15" s="3">
        <v>0.19400000000000001</v>
      </c>
      <c r="I15" s="3">
        <v>0.192</v>
      </c>
      <c r="J15" s="3">
        <v>0.19700000000000001</v>
      </c>
      <c r="K15" s="3">
        <v>0.17</v>
      </c>
      <c r="L15" s="11">
        <v>0.16600000000000001</v>
      </c>
      <c r="M15" s="3">
        <v>0.17100000000000001</v>
      </c>
      <c r="N15" s="7">
        <v>540</v>
      </c>
    </row>
    <row r="16" spans="1:14" x14ac:dyDescent="0.2">
      <c r="A16" s="21" t="s">
        <v>4</v>
      </c>
      <c r="B16" s="48">
        <v>0.34399999999999997</v>
      </c>
      <c r="C16" s="5">
        <v>0.36399999999999999</v>
      </c>
      <c r="D16" s="49">
        <v>0.34699999999999998</v>
      </c>
      <c r="E16" s="24">
        <v>0.23599999999999999</v>
      </c>
      <c r="F16" s="3">
        <v>0.20399999999999999</v>
      </c>
      <c r="G16" s="3">
        <v>0.217</v>
      </c>
      <c r="H16" s="4">
        <v>0.25600000000000001</v>
      </c>
      <c r="I16" s="4">
        <v>0.255</v>
      </c>
      <c r="J16" s="4">
        <v>0.25</v>
      </c>
      <c r="K16" s="3">
        <v>0.2</v>
      </c>
      <c r="L16" s="3">
        <v>0.214</v>
      </c>
      <c r="M16" s="3">
        <v>0.20899999999999999</v>
      </c>
      <c r="N16" s="7">
        <v>540</v>
      </c>
    </row>
    <row r="17" spans="1:20" x14ac:dyDescent="0.2">
      <c r="A17" s="21" t="s">
        <v>5</v>
      </c>
      <c r="B17" s="37">
        <v>0.245</v>
      </c>
      <c r="C17" s="3">
        <v>0.216</v>
      </c>
      <c r="D17" s="40">
        <v>0.217</v>
      </c>
      <c r="E17" s="22">
        <v>0.23</v>
      </c>
      <c r="F17" s="3">
        <v>0.23300000000000001</v>
      </c>
      <c r="G17" s="4">
        <v>0.23899999999999999</v>
      </c>
      <c r="H17" s="11">
        <v>0.107</v>
      </c>
      <c r="I17" s="11">
        <v>0.105</v>
      </c>
      <c r="J17" s="11">
        <v>0.10299999999999999</v>
      </c>
      <c r="K17" s="4">
        <v>0.29699999999999999</v>
      </c>
      <c r="L17" s="5">
        <v>0.33500000000000002</v>
      </c>
      <c r="M17" s="5">
        <v>0.317</v>
      </c>
      <c r="N17" s="7">
        <v>540</v>
      </c>
    </row>
    <row r="18" spans="1:20" x14ac:dyDescent="0.2">
      <c r="A18" s="21" t="s">
        <v>6</v>
      </c>
      <c r="B18" s="39">
        <v>0.17199999999999999</v>
      </c>
      <c r="C18" s="11">
        <v>0.14299999999999999</v>
      </c>
      <c r="D18" s="50">
        <v>0.14199999999999999</v>
      </c>
      <c r="E18" s="44">
        <v>0.16200000000000001</v>
      </c>
      <c r="F18" s="11">
        <v>0.16200000000000001</v>
      </c>
      <c r="G18" s="11">
        <v>0.156</v>
      </c>
      <c r="H18" s="11">
        <v>0.14499999999999999</v>
      </c>
      <c r="I18" s="11">
        <v>0.14499999999999999</v>
      </c>
      <c r="J18" s="11">
        <v>0.14000000000000001</v>
      </c>
      <c r="K18" s="3">
        <v>0.191</v>
      </c>
      <c r="L18" s="3">
        <v>0.188</v>
      </c>
      <c r="M18" s="3">
        <v>0.191</v>
      </c>
      <c r="N18" s="7">
        <v>540</v>
      </c>
    </row>
    <row r="19" spans="1:20" ht="16" thickBot="1" x14ac:dyDescent="0.25">
      <c r="A19" s="21" t="s">
        <v>7</v>
      </c>
      <c r="B19" s="51">
        <v>0.20399999999999999</v>
      </c>
      <c r="C19" s="42">
        <v>0.16600000000000001</v>
      </c>
      <c r="D19" s="43">
        <v>0.112</v>
      </c>
      <c r="E19" s="25">
        <v>0.33200000000000002</v>
      </c>
      <c r="F19" s="5">
        <v>0.32300000000000001</v>
      </c>
      <c r="G19" s="5">
        <v>0.32500000000000001</v>
      </c>
      <c r="H19" s="3">
        <v>0.17699999999999999</v>
      </c>
      <c r="I19" s="3">
        <v>0.17299999999999999</v>
      </c>
      <c r="J19" s="3">
        <v>0.17</v>
      </c>
      <c r="K19" s="4">
        <v>0.29299999999999998</v>
      </c>
      <c r="L19" s="4">
        <v>0.28399999999999997</v>
      </c>
      <c r="M19" s="4">
        <v>0.29099999999999998</v>
      </c>
      <c r="N19" s="7">
        <v>540</v>
      </c>
      <c r="S19" t="s">
        <v>38</v>
      </c>
      <c r="T19" t="s">
        <v>37</v>
      </c>
    </row>
    <row r="20" spans="1:20" x14ac:dyDescent="0.2">
      <c r="S20">
        <v>2</v>
      </c>
      <c r="T20">
        <v>1.6393333333333331</v>
      </c>
    </row>
    <row r="21" spans="1:20" ht="16" thickBot="1" x14ac:dyDescent="0.25">
      <c r="A21" s="1"/>
      <c r="B21" s="26">
        <v>1</v>
      </c>
      <c r="C21" s="26">
        <v>2</v>
      </c>
      <c r="D21" s="26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  <c r="S21">
        <v>1.5</v>
      </c>
      <c r="T21" s="19"/>
    </row>
    <row r="22" spans="1:20" x14ac:dyDescent="0.2">
      <c r="A22" s="21" t="s">
        <v>0</v>
      </c>
      <c r="B22" s="53">
        <f>B2-B12</f>
        <v>1.5759999999999998</v>
      </c>
      <c r="C22" s="54">
        <f t="shared" ref="C22:M22" si="0">C2-C12</f>
        <v>1.4370000000000001</v>
      </c>
      <c r="D22" s="55">
        <f t="shared" si="0"/>
        <v>0.96199999999999997</v>
      </c>
      <c r="E22" s="52">
        <f t="shared" si="0"/>
        <v>0.28600000000000003</v>
      </c>
      <c r="F22" s="14">
        <f t="shared" si="0"/>
        <v>0.30200000000000005</v>
      </c>
      <c r="G22" s="14">
        <f t="shared" si="0"/>
        <v>0.34800000000000003</v>
      </c>
      <c r="H22" s="14">
        <f t="shared" si="0"/>
        <v>0.17899999999999999</v>
      </c>
      <c r="I22" s="14">
        <f t="shared" si="0"/>
        <v>0.17799999999999999</v>
      </c>
      <c r="J22" s="14">
        <f t="shared" si="0"/>
        <v>0.17699999999999999</v>
      </c>
      <c r="K22" s="14">
        <f t="shared" si="0"/>
        <v>0.53600000000000003</v>
      </c>
      <c r="L22" s="14">
        <f t="shared" si="0"/>
        <v>0.61099999999999999</v>
      </c>
      <c r="M22" s="14">
        <f t="shared" si="0"/>
        <v>0.498</v>
      </c>
      <c r="S22">
        <v>1.25</v>
      </c>
      <c r="T22">
        <v>1.210333333333333</v>
      </c>
    </row>
    <row r="23" spans="1:20" x14ac:dyDescent="0.2">
      <c r="A23" s="21" t="s">
        <v>1</v>
      </c>
      <c r="B23" s="56">
        <f t="shared" ref="B23:M29" si="1">B3-B13</f>
        <v>1.2450000000000001</v>
      </c>
      <c r="C23" s="14">
        <f t="shared" si="1"/>
        <v>1.1849999999999998</v>
      </c>
      <c r="D23" s="57">
        <f t="shared" si="1"/>
        <v>1.2439999999999998</v>
      </c>
      <c r="E23" s="52">
        <f t="shared" si="1"/>
        <v>0.71199999999999997</v>
      </c>
      <c r="F23" s="14">
        <f t="shared" si="1"/>
        <v>0.70899999999999996</v>
      </c>
      <c r="G23" s="14">
        <f t="shared" si="1"/>
        <v>0.70099999999999996</v>
      </c>
      <c r="H23" s="14">
        <f t="shared" si="1"/>
        <v>0.253</v>
      </c>
      <c r="I23" s="14">
        <f t="shared" si="1"/>
        <v>0.252</v>
      </c>
      <c r="J23" s="14">
        <f t="shared" si="1"/>
        <v>0.21799999999999997</v>
      </c>
      <c r="K23" s="14">
        <f t="shared" si="1"/>
        <v>0.111</v>
      </c>
      <c r="L23" s="14">
        <f t="shared" si="1"/>
        <v>0.10000000000000002</v>
      </c>
      <c r="M23" s="14">
        <f t="shared" si="1"/>
        <v>0.10199999999999999</v>
      </c>
      <c r="S23">
        <v>1</v>
      </c>
      <c r="T23">
        <v>1.1003333333333332</v>
      </c>
    </row>
    <row r="24" spans="1:20" x14ac:dyDescent="0.2">
      <c r="A24" s="21" t="s">
        <v>2</v>
      </c>
      <c r="B24" s="56">
        <f t="shared" si="1"/>
        <v>1.1469999999999998</v>
      </c>
      <c r="C24" s="14">
        <f t="shared" si="1"/>
        <v>1.1160000000000001</v>
      </c>
      <c r="D24" s="57">
        <f t="shared" si="1"/>
        <v>1.2130000000000001</v>
      </c>
      <c r="E24" s="52">
        <f t="shared" si="1"/>
        <v>0.35600000000000004</v>
      </c>
      <c r="F24" s="18">
        <f t="shared" si="1"/>
        <v>0.66599999999999993</v>
      </c>
      <c r="G24" s="14">
        <f t="shared" si="1"/>
        <v>0.318</v>
      </c>
      <c r="H24" s="14">
        <f t="shared" si="1"/>
        <v>0.29200000000000004</v>
      </c>
      <c r="I24" s="14">
        <f t="shared" si="1"/>
        <v>0.30000000000000004</v>
      </c>
      <c r="J24" s="14">
        <f t="shared" si="1"/>
        <v>0.255</v>
      </c>
      <c r="K24" s="14">
        <f t="shared" si="1"/>
        <v>0.23200000000000001</v>
      </c>
      <c r="L24" s="14">
        <f t="shared" si="1"/>
        <v>0.24900000000000003</v>
      </c>
      <c r="M24" s="14">
        <f t="shared" si="1"/>
        <v>0.221</v>
      </c>
      <c r="S24">
        <v>0.5</v>
      </c>
      <c r="T24">
        <v>0.62633333333333341</v>
      </c>
    </row>
    <row r="25" spans="1:20" x14ac:dyDescent="0.2">
      <c r="A25" s="21" t="s">
        <v>3</v>
      </c>
      <c r="B25" s="56">
        <f t="shared" si="1"/>
        <v>1.0369999999999999</v>
      </c>
      <c r="C25" s="14">
        <f t="shared" si="1"/>
        <v>0.91600000000000004</v>
      </c>
      <c r="D25" s="57">
        <f t="shared" si="1"/>
        <v>0.91099999999999992</v>
      </c>
      <c r="E25" s="52">
        <f t="shared" si="1"/>
        <v>0.222</v>
      </c>
      <c r="F25" s="14">
        <f t="shared" si="1"/>
        <v>0.22900000000000001</v>
      </c>
      <c r="G25" s="14">
        <f t="shared" si="1"/>
        <v>0.24600000000000002</v>
      </c>
      <c r="H25" s="14">
        <f t="shared" si="1"/>
        <v>0.48000000000000004</v>
      </c>
      <c r="I25" s="14">
        <f t="shared" si="1"/>
        <v>0.436</v>
      </c>
      <c r="J25" s="14">
        <f t="shared" si="1"/>
        <v>0.37199999999999994</v>
      </c>
      <c r="K25" s="14">
        <f t="shared" si="1"/>
        <v>0.30599999999999994</v>
      </c>
      <c r="L25" s="14">
        <f t="shared" si="1"/>
        <v>0.31799999999999995</v>
      </c>
      <c r="M25" s="14">
        <f t="shared" si="1"/>
        <v>0.28800000000000003</v>
      </c>
      <c r="S25">
        <v>0.25</v>
      </c>
      <c r="T25">
        <v>0.41833333333333333</v>
      </c>
    </row>
    <row r="26" spans="1:20" x14ac:dyDescent="0.2">
      <c r="A26" s="21" t="s">
        <v>4</v>
      </c>
      <c r="B26" s="56">
        <f t="shared" si="1"/>
        <v>0.56300000000000006</v>
      </c>
      <c r="C26" s="14">
        <f t="shared" si="1"/>
        <v>0.63400000000000001</v>
      </c>
      <c r="D26" s="57">
        <f t="shared" si="1"/>
        <v>0.61099999999999999</v>
      </c>
      <c r="E26" s="52">
        <f t="shared" si="1"/>
        <v>0.44000000000000006</v>
      </c>
      <c r="F26" s="14">
        <f t="shared" si="1"/>
        <v>0.375</v>
      </c>
      <c r="G26" s="14">
        <f t="shared" si="1"/>
        <v>0.42700000000000005</v>
      </c>
      <c r="H26" s="14">
        <f t="shared" si="1"/>
        <v>0.56099999999999994</v>
      </c>
      <c r="I26" s="14">
        <f t="shared" si="1"/>
        <v>0.52400000000000002</v>
      </c>
      <c r="J26" s="14">
        <f t="shared" si="1"/>
        <v>0.48199999999999998</v>
      </c>
      <c r="K26" s="14">
        <f t="shared" si="1"/>
        <v>0.41299999999999998</v>
      </c>
      <c r="L26" s="14">
        <f t="shared" si="1"/>
        <v>0.43000000000000005</v>
      </c>
      <c r="M26" s="14">
        <f t="shared" si="1"/>
        <v>0.39600000000000002</v>
      </c>
      <c r="S26">
        <v>0.125</v>
      </c>
      <c r="T26">
        <v>0.19833333333333333</v>
      </c>
    </row>
    <row r="27" spans="1:20" x14ac:dyDescent="0.2">
      <c r="A27" s="21" t="s">
        <v>5</v>
      </c>
      <c r="B27" s="56">
        <f t="shared" si="1"/>
        <v>0.35499999999999998</v>
      </c>
      <c r="C27" s="14">
        <f t="shared" si="1"/>
        <v>0.34699999999999998</v>
      </c>
      <c r="D27" s="57">
        <f t="shared" si="1"/>
        <v>0.32600000000000007</v>
      </c>
      <c r="E27" s="52">
        <f t="shared" si="1"/>
        <v>0.46199999999999997</v>
      </c>
      <c r="F27" s="14">
        <f t="shared" si="1"/>
        <v>0.48399999999999999</v>
      </c>
      <c r="G27" s="14">
        <f t="shared" si="1"/>
        <v>0.51700000000000002</v>
      </c>
      <c r="H27" s="14">
        <f t="shared" si="1"/>
        <v>0.107</v>
      </c>
      <c r="I27" s="14">
        <f t="shared" si="1"/>
        <v>0.10199999999999999</v>
      </c>
      <c r="J27" s="14">
        <f t="shared" si="1"/>
        <v>9.3000000000000013E-2</v>
      </c>
      <c r="K27" s="14">
        <f t="shared" si="1"/>
        <v>0.69100000000000006</v>
      </c>
      <c r="L27" s="14">
        <f t="shared" si="1"/>
        <v>0.64500000000000002</v>
      </c>
      <c r="M27" s="14">
        <f t="shared" si="1"/>
        <v>0.65500000000000003</v>
      </c>
      <c r="O27" t="s">
        <v>8</v>
      </c>
      <c r="P27">
        <f>AVERAGE(B29:D29)</f>
        <v>-6.3333333333333325E-2</v>
      </c>
      <c r="S27">
        <v>0</v>
      </c>
      <c r="T27">
        <v>-2.6666666666666658E-2</v>
      </c>
    </row>
    <row r="28" spans="1:20" x14ac:dyDescent="0.2">
      <c r="A28" s="21" t="s">
        <v>6</v>
      </c>
      <c r="B28" s="56">
        <f t="shared" si="1"/>
        <v>0.13500000000000001</v>
      </c>
      <c r="C28" s="14">
        <f t="shared" si="1"/>
        <v>0.161</v>
      </c>
      <c r="D28" s="57">
        <f t="shared" si="1"/>
        <v>0.19000000000000003</v>
      </c>
      <c r="E28" s="52">
        <f t="shared" si="1"/>
        <v>0.26400000000000001</v>
      </c>
      <c r="F28" s="14">
        <f t="shared" si="1"/>
        <v>0.27500000000000002</v>
      </c>
      <c r="G28" s="14">
        <f t="shared" si="1"/>
        <v>0.25800000000000001</v>
      </c>
      <c r="H28" s="14">
        <f t="shared" si="1"/>
        <v>0.26100000000000001</v>
      </c>
      <c r="I28" s="14">
        <f t="shared" si="1"/>
        <v>0.26700000000000002</v>
      </c>
      <c r="J28" s="14">
        <f t="shared" si="1"/>
        <v>0.22299999999999998</v>
      </c>
      <c r="K28" s="14">
        <f t="shared" si="1"/>
        <v>0.39099999999999996</v>
      </c>
      <c r="L28" s="14">
        <f t="shared" si="1"/>
        <v>0.34800000000000003</v>
      </c>
      <c r="M28" s="14">
        <f t="shared" si="1"/>
        <v>0.36000000000000004</v>
      </c>
      <c r="S28">
        <v>2</v>
      </c>
      <c r="T28" s="19"/>
    </row>
    <row r="29" spans="1:20" ht="16" thickBot="1" x14ac:dyDescent="0.25">
      <c r="A29" s="21" t="s">
        <v>7</v>
      </c>
      <c r="B29" s="58">
        <f t="shared" si="1"/>
        <v>-8.9999999999999983E-2</v>
      </c>
      <c r="C29" s="59">
        <f t="shared" si="1"/>
        <v>-7.3000000000000009E-2</v>
      </c>
      <c r="D29" s="60">
        <f t="shared" si="1"/>
        <v>-2.6999999999999996E-2</v>
      </c>
      <c r="E29" s="52">
        <f t="shared" si="1"/>
        <v>0.65700000000000003</v>
      </c>
      <c r="F29" s="14">
        <f t="shared" si="1"/>
        <v>0.69100000000000006</v>
      </c>
      <c r="G29" s="14">
        <f t="shared" si="1"/>
        <v>0.69</v>
      </c>
      <c r="H29" s="14">
        <f t="shared" si="1"/>
        <v>0.35000000000000003</v>
      </c>
      <c r="I29" s="14">
        <f t="shared" si="1"/>
        <v>0.35000000000000003</v>
      </c>
      <c r="J29" s="14">
        <f t="shared" si="1"/>
        <v>0.34299999999999997</v>
      </c>
      <c r="K29" s="14">
        <f t="shared" si="1"/>
        <v>0.70100000000000007</v>
      </c>
      <c r="L29" s="14">
        <f t="shared" si="1"/>
        <v>0.66900000000000004</v>
      </c>
      <c r="M29" s="14">
        <f t="shared" si="1"/>
        <v>0.69500000000000006</v>
      </c>
      <c r="S29">
        <v>1.5</v>
      </c>
      <c r="T29" s="19"/>
    </row>
    <row r="30" spans="1:20" x14ac:dyDescent="0.2">
      <c r="S30">
        <v>1.25</v>
      </c>
      <c r="T30">
        <v>1.1793333333333333</v>
      </c>
    </row>
    <row r="31" spans="1:20" ht="16" thickBot="1" x14ac:dyDescent="0.25">
      <c r="A31" s="1"/>
      <c r="B31" s="26">
        <v>1</v>
      </c>
      <c r="C31" s="26">
        <v>2</v>
      </c>
      <c r="D31" s="26">
        <v>3</v>
      </c>
      <c r="E31" s="2">
        <v>4</v>
      </c>
      <c r="F31" s="2">
        <v>5</v>
      </c>
      <c r="G31" s="2">
        <v>6</v>
      </c>
      <c r="H31" s="2">
        <v>7</v>
      </c>
      <c r="I31" s="2">
        <v>8</v>
      </c>
      <c r="J31" s="2">
        <v>9</v>
      </c>
      <c r="K31" s="2">
        <v>10</v>
      </c>
      <c r="L31" s="2">
        <v>11</v>
      </c>
      <c r="M31" s="2">
        <v>12</v>
      </c>
      <c r="S31">
        <v>1</v>
      </c>
      <c r="T31">
        <v>0.97933333333333339</v>
      </c>
    </row>
    <row r="32" spans="1:20" x14ac:dyDescent="0.2">
      <c r="A32" s="21" t="s">
        <v>0</v>
      </c>
      <c r="B32" s="53">
        <f>B22-$P$27</f>
        <v>1.6393333333333331</v>
      </c>
      <c r="C32" s="54">
        <f t="shared" ref="C32:M32" si="2">C22-$P$27</f>
        <v>1.5003333333333333</v>
      </c>
      <c r="D32" s="61">
        <f t="shared" si="2"/>
        <v>1.0253333333333332</v>
      </c>
      <c r="E32" s="52">
        <f t="shared" si="2"/>
        <v>0.34933333333333338</v>
      </c>
      <c r="F32" s="14">
        <f t="shared" si="2"/>
        <v>0.3653333333333334</v>
      </c>
      <c r="G32" s="14">
        <f t="shared" si="2"/>
        <v>0.41133333333333333</v>
      </c>
      <c r="H32" s="14">
        <f t="shared" si="2"/>
        <v>0.24233333333333332</v>
      </c>
      <c r="I32" s="14">
        <f t="shared" si="2"/>
        <v>0.24133333333333332</v>
      </c>
      <c r="J32" s="14">
        <f t="shared" si="2"/>
        <v>0.24033333333333332</v>
      </c>
      <c r="K32" s="14">
        <f t="shared" si="2"/>
        <v>0.59933333333333338</v>
      </c>
      <c r="L32" s="14">
        <f t="shared" si="2"/>
        <v>0.67433333333333334</v>
      </c>
      <c r="M32" s="14">
        <f t="shared" si="2"/>
        <v>0.56133333333333335</v>
      </c>
      <c r="S32">
        <v>0.5</v>
      </c>
      <c r="T32">
        <v>0.69733333333333336</v>
      </c>
    </row>
    <row r="33" spans="1:20" x14ac:dyDescent="0.2">
      <c r="A33" s="21" t="s">
        <v>1</v>
      </c>
      <c r="B33" s="56">
        <f t="shared" ref="B33:M39" si="3">B23-$P$27</f>
        <v>1.3083333333333333</v>
      </c>
      <c r="C33" s="14">
        <f t="shared" si="3"/>
        <v>1.2483333333333331</v>
      </c>
      <c r="D33" s="57">
        <f t="shared" si="3"/>
        <v>1.307333333333333</v>
      </c>
      <c r="E33" s="52">
        <f t="shared" si="3"/>
        <v>0.77533333333333332</v>
      </c>
      <c r="F33" s="14">
        <f t="shared" si="3"/>
        <v>0.77233333333333332</v>
      </c>
      <c r="G33" s="14">
        <f t="shared" si="3"/>
        <v>0.76433333333333331</v>
      </c>
      <c r="H33" s="14">
        <f t="shared" si="3"/>
        <v>0.31633333333333336</v>
      </c>
      <c r="I33" s="14">
        <f t="shared" si="3"/>
        <v>0.31533333333333335</v>
      </c>
      <c r="J33" s="14">
        <f t="shared" si="3"/>
        <v>0.28133333333333332</v>
      </c>
      <c r="K33" s="14">
        <f t="shared" si="3"/>
        <v>0.17433333333333334</v>
      </c>
      <c r="L33" s="14">
        <f t="shared" si="3"/>
        <v>0.16333333333333333</v>
      </c>
      <c r="M33" s="14">
        <f t="shared" si="3"/>
        <v>0.16533333333333333</v>
      </c>
      <c r="S33">
        <v>0.25</v>
      </c>
      <c r="T33">
        <v>0.41033333333333333</v>
      </c>
    </row>
    <row r="34" spans="1:20" x14ac:dyDescent="0.2">
      <c r="A34" s="21" t="s">
        <v>2</v>
      </c>
      <c r="B34" s="56">
        <f t="shared" si="3"/>
        <v>1.210333333333333</v>
      </c>
      <c r="C34" s="14">
        <f t="shared" si="3"/>
        <v>1.1793333333333333</v>
      </c>
      <c r="D34" s="57">
        <f t="shared" si="3"/>
        <v>1.2763333333333333</v>
      </c>
      <c r="E34" s="52">
        <f t="shared" si="3"/>
        <v>0.41933333333333334</v>
      </c>
      <c r="F34" s="18">
        <f t="shared" si="3"/>
        <v>0.72933333333333328</v>
      </c>
      <c r="G34" s="14">
        <f t="shared" si="3"/>
        <v>0.3813333333333333</v>
      </c>
      <c r="H34" s="14">
        <f t="shared" si="3"/>
        <v>0.35533333333333339</v>
      </c>
      <c r="I34" s="14">
        <f t="shared" si="3"/>
        <v>0.3633333333333334</v>
      </c>
      <c r="J34" s="14">
        <f t="shared" si="3"/>
        <v>0.31833333333333336</v>
      </c>
      <c r="K34" s="14">
        <f t="shared" si="3"/>
        <v>0.29533333333333334</v>
      </c>
      <c r="L34" s="14">
        <f t="shared" si="3"/>
        <v>0.31233333333333335</v>
      </c>
      <c r="M34" s="14">
        <f t="shared" si="3"/>
        <v>0.28433333333333333</v>
      </c>
      <c r="S34">
        <v>0.125</v>
      </c>
      <c r="T34">
        <v>0.22433333333333333</v>
      </c>
    </row>
    <row r="35" spans="1:20" x14ac:dyDescent="0.2">
      <c r="A35" s="21" t="s">
        <v>3</v>
      </c>
      <c r="B35" s="56">
        <f t="shared" si="3"/>
        <v>1.1003333333333332</v>
      </c>
      <c r="C35" s="14">
        <f t="shared" si="3"/>
        <v>0.97933333333333339</v>
      </c>
      <c r="D35" s="57">
        <f t="shared" si="3"/>
        <v>0.97433333333333327</v>
      </c>
      <c r="E35" s="52">
        <f t="shared" si="3"/>
        <v>0.28533333333333333</v>
      </c>
      <c r="F35" s="14">
        <f t="shared" si="3"/>
        <v>0.29233333333333333</v>
      </c>
      <c r="G35" s="14">
        <f t="shared" si="3"/>
        <v>0.30933333333333335</v>
      </c>
      <c r="H35" s="14">
        <f t="shared" si="3"/>
        <v>0.54333333333333333</v>
      </c>
      <c r="I35" s="14">
        <f t="shared" si="3"/>
        <v>0.4993333333333333</v>
      </c>
      <c r="J35" s="14">
        <f t="shared" si="3"/>
        <v>0.43533333333333324</v>
      </c>
      <c r="K35" s="14">
        <f t="shared" si="3"/>
        <v>0.36933333333333329</v>
      </c>
      <c r="L35" s="14">
        <f t="shared" si="3"/>
        <v>0.3813333333333333</v>
      </c>
      <c r="M35" s="14">
        <f t="shared" si="3"/>
        <v>0.35133333333333339</v>
      </c>
      <c r="S35">
        <v>0</v>
      </c>
      <c r="T35">
        <v>-9.6666666666666845E-3</v>
      </c>
    </row>
    <row r="36" spans="1:20" x14ac:dyDescent="0.2">
      <c r="A36" s="21" t="s">
        <v>4</v>
      </c>
      <c r="B36" s="56">
        <f t="shared" si="3"/>
        <v>0.62633333333333341</v>
      </c>
      <c r="C36" s="14">
        <f t="shared" si="3"/>
        <v>0.69733333333333336</v>
      </c>
      <c r="D36" s="57">
        <f t="shared" si="3"/>
        <v>0.67433333333333334</v>
      </c>
      <c r="E36" s="52">
        <f t="shared" si="3"/>
        <v>0.50333333333333341</v>
      </c>
      <c r="F36" s="14">
        <f t="shared" si="3"/>
        <v>0.43833333333333335</v>
      </c>
      <c r="G36" s="14">
        <f t="shared" si="3"/>
        <v>0.4903333333333334</v>
      </c>
      <c r="H36" s="14">
        <f t="shared" si="3"/>
        <v>0.6243333333333333</v>
      </c>
      <c r="I36" s="14">
        <f t="shared" si="3"/>
        <v>0.58733333333333337</v>
      </c>
      <c r="J36" s="14">
        <f t="shared" si="3"/>
        <v>0.54533333333333334</v>
      </c>
      <c r="K36" s="14">
        <f t="shared" si="3"/>
        <v>0.47633333333333328</v>
      </c>
      <c r="L36" s="14">
        <f t="shared" si="3"/>
        <v>0.4933333333333334</v>
      </c>
      <c r="M36" s="14">
        <f t="shared" si="3"/>
        <v>0.45933333333333337</v>
      </c>
      <c r="S36">
        <v>2</v>
      </c>
      <c r="T36" s="19"/>
    </row>
    <row r="37" spans="1:20" x14ac:dyDescent="0.2">
      <c r="A37" s="21" t="s">
        <v>5</v>
      </c>
      <c r="B37" s="56">
        <f t="shared" si="3"/>
        <v>0.41833333333333333</v>
      </c>
      <c r="C37" s="14">
        <f t="shared" si="3"/>
        <v>0.41033333333333333</v>
      </c>
      <c r="D37" s="57">
        <f t="shared" si="3"/>
        <v>0.38933333333333342</v>
      </c>
      <c r="E37" s="52">
        <f t="shared" si="3"/>
        <v>0.52533333333333332</v>
      </c>
      <c r="F37" s="14">
        <f t="shared" si="3"/>
        <v>0.54733333333333334</v>
      </c>
      <c r="G37" s="14">
        <f t="shared" si="3"/>
        <v>0.58033333333333337</v>
      </c>
      <c r="H37" s="14">
        <f t="shared" si="3"/>
        <v>0.17033333333333334</v>
      </c>
      <c r="I37" s="14">
        <f t="shared" si="3"/>
        <v>0.16533333333333333</v>
      </c>
      <c r="J37" s="14">
        <f t="shared" si="3"/>
        <v>0.15633333333333332</v>
      </c>
      <c r="K37" s="14">
        <f t="shared" si="3"/>
        <v>0.75433333333333341</v>
      </c>
      <c r="L37" s="14">
        <f t="shared" si="3"/>
        <v>0.70833333333333337</v>
      </c>
      <c r="M37" s="14">
        <f t="shared" si="3"/>
        <v>0.71833333333333338</v>
      </c>
      <c r="S37">
        <v>1.5</v>
      </c>
      <c r="T37" s="19"/>
    </row>
    <row r="38" spans="1:20" x14ac:dyDescent="0.2">
      <c r="A38" s="21" t="s">
        <v>6</v>
      </c>
      <c r="B38" s="56">
        <f t="shared" si="3"/>
        <v>0.19833333333333333</v>
      </c>
      <c r="C38" s="14">
        <f t="shared" si="3"/>
        <v>0.22433333333333333</v>
      </c>
      <c r="D38" s="57">
        <f t="shared" si="3"/>
        <v>0.25333333333333335</v>
      </c>
      <c r="E38" s="52">
        <f t="shared" si="3"/>
        <v>0.32733333333333337</v>
      </c>
      <c r="F38" s="14">
        <f t="shared" si="3"/>
        <v>0.33833333333333337</v>
      </c>
      <c r="G38" s="14">
        <f t="shared" si="3"/>
        <v>0.32133333333333336</v>
      </c>
      <c r="H38" s="14">
        <f t="shared" si="3"/>
        <v>0.32433333333333336</v>
      </c>
      <c r="I38" s="14">
        <f t="shared" si="3"/>
        <v>0.33033333333333337</v>
      </c>
      <c r="J38" s="14">
        <f t="shared" si="3"/>
        <v>0.28633333333333333</v>
      </c>
      <c r="K38" s="14">
        <f t="shared" si="3"/>
        <v>0.45433333333333326</v>
      </c>
      <c r="L38" s="14">
        <f t="shared" si="3"/>
        <v>0.41133333333333333</v>
      </c>
      <c r="M38" s="14">
        <f t="shared" si="3"/>
        <v>0.42333333333333334</v>
      </c>
      <c r="S38">
        <v>1.25</v>
      </c>
      <c r="T38">
        <v>1.2763333333333333</v>
      </c>
    </row>
    <row r="39" spans="1:20" ht="16" thickBot="1" x14ac:dyDescent="0.25">
      <c r="A39" s="21" t="s">
        <v>7</v>
      </c>
      <c r="B39" s="58">
        <f t="shared" si="3"/>
        <v>-2.6666666666666658E-2</v>
      </c>
      <c r="C39" s="59">
        <f t="shared" si="3"/>
        <v>-9.6666666666666845E-3</v>
      </c>
      <c r="D39" s="60">
        <f t="shared" si="3"/>
        <v>3.6333333333333329E-2</v>
      </c>
      <c r="E39" s="52">
        <f t="shared" si="3"/>
        <v>0.72033333333333338</v>
      </c>
      <c r="F39" s="14">
        <f t="shared" si="3"/>
        <v>0.75433333333333341</v>
      </c>
      <c r="G39" s="14">
        <f t="shared" si="3"/>
        <v>0.7533333333333333</v>
      </c>
      <c r="H39" s="14">
        <f t="shared" si="3"/>
        <v>0.41333333333333333</v>
      </c>
      <c r="I39" s="14">
        <f t="shared" si="3"/>
        <v>0.41333333333333333</v>
      </c>
      <c r="J39" s="14">
        <f t="shared" si="3"/>
        <v>0.40633333333333332</v>
      </c>
      <c r="K39" s="14">
        <f t="shared" si="3"/>
        <v>0.76433333333333342</v>
      </c>
      <c r="L39" s="14">
        <f t="shared" si="3"/>
        <v>0.73233333333333339</v>
      </c>
      <c r="M39" s="14">
        <f t="shared" si="3"/>
        <v>0.75833333333333341</v>
      </c>
      <c r="S39">
        <v>1</v>
      </c>
      <c r="T39">
        <v>0.97433333333333327</v>
      </c>
    </row>
    <row r="40" spans="1:20" x14ac:dyDescent="0.2">
      <c r="S40">
        <v>0.5</v>
      </c>
      <c r="T40">
        <v>0.67433333333333334</v>
      </c>
    </row>
    <row r="41" spans="1:20" x14ac:dyDescent="0.2">
      <c r="S41">
        <v>0.25</v>
      </c>
      <c r="T41">
        <v>0.38933333333333342</v>
      </c>
    </row>
    <row r="42" spans="1:20" x14ac:dyDescent="0.2">
      <c r="C42">
        <v>0.84760000000000002</v>
      </c>
      <c r="E42">
        <v>0.13739999999999999</v>
      </c>
      <c r="S42">
        <v>0.125</v>
      </c>
      <c r="T42">
        <v>0.25333333333333335</v>
      </c>
    </row>
    <row r="43" spans="1:20" x14ac:dyDescent="0.2">
      <c r="S43">
        <v>0</v>
      </c>
      <c r="T43">
        <v>3.6333333333333329E-2</v>
      </c>
    </row>
    <row r="44" spans="1:20" ht="16" thickBot="1" x14ac:dyDescent="0.25">
      <c r="A44" s="1"/>
      <c r="B44" s="26">
        <v>1</v>
      </c>
      <c r="C44" s="26">
        <v>2</v>
      </c>
      <c r="D44" s="26">
        <v>3</v>
      </c>
      <c r="E44" s="2">
        <v>4</v>
      </c>
      <c r="F44" s="2">
        <v>5</v>
      </c>
      <c r="G44" s="2">
        <v>6</v>
      </c>
      <c r="H44" s="2">
        <v>7</v>
      </c>
      <c r="I44" s="2">
        <v>8</v>
      </c>
      <c r="J44" s="2">
        <v>9</v>
      </c>
      <c r="K44" s="2">
        <v>10</v>
      </c>
      <c r="L44" s="2">
        <v>11</v>
      </c>
      <c r="M44" s="2">
        <v>12</v>
      </c>
    </row>
    <row r="45" spans="1:20" x14ac:dyDescent="0.2">
      <c r="A45" s="21" t="s">
        <v>0</v>
      </c>
      <c r="B45" s="53">
        <f>(B32-$E$42)/$C$42</f>
        <v>1.7719836400817992</v>
      </c>
      <c r="C45" s="54">
        <f t="shared" ref="C45:M45" si="4">(C32-$E$42)/$C$42</f>
        <v>1.6079911908132767</v>
      </c>
      <c r="D45" s="61">
        <f t="shared" si="4"/>
        <v>1.0475853389963818</v>
      </c>
      <c r="E45" s="52">
        <f t="shared" si="4"/>
        <v>0.25003932672644336</v>
      </c>
      <c r="F45" s="14">
        <f t="shared" si="4"/>
        <v>0.26891615541922298</v>
      </c>
      <c r="G45" s="14">
        <f t="shared" si="4"/>
        <v>0.32318703791096431</v>
      </c>
      <c r="H45" s="14">
        <f t="shared" si="4"/>
        <v>0.12380053484347961</v>
      </c>
      <c r="I45" s="14">
        <f t="shared" si="4"/>
        <v>0.12262073305018088</v>
      </c>
      <c r="J45" s="14">
        <f t="shared" si="4"/>
        <v>0.12144093125688216</v>
      </c>
      <c r="K45" s="14">
        <f t="shared" si="4"/>
        <v>0.54498977505112478</v>
      </c>
      <c r="L45" s="14">
        <f t="shared" si="4"/>
        <v>0.63347490954852925</v>
      </c>
      <c r="M45" s="14">
        <f t="shared" si="4"/>
        <v>0.5001573069057732</v>
      </c>
    </row>
    <row r="46" spans="1:20" x14ac:dyDescent="0.2">
      <c r="A46" s="21" t="s">
        <v>1</v>
      </c>
      <c r="B46" s="56">
        <f t="shared" ref="B46:M52" si="5">(B33-$E$42)/$C$42</f>
        <v>1.3814692464999214</v>
      </c>
      <c r="C46" s="14">
        <f t="shared" si="5"/>
        <v>1.3106811389019974</v>
      </c>
      <c r="D46" s="57">
        <f t="shared" si="5"/>
        <v>1.3802894447066223</v>
      </c>
      <c r="E46" s="52">
        <f t="shared" si="5"/>
        <v>0.75263489067170053</v>
      </c>
      <c r="F46" s="14">
        <f t="shared" si="5"/>
        <v>0.74909548529180436</v>
      </c>
      <c r="G46" s="14">
        <f t="shared" si="5"/>
        <v>0.73965707094541455</v>
      </c>
      <c r="H46" s="14">
        <f t="shared" si="5"/>
        <v>0.21110586754758537</v>
      </c>
      <c r="I46" s="14">
        <f t="shared" si="5"/>
        <v>0.20992606575428663</v>
      </c>
      <c r="J46" s="14">
        <f t="shared" si="5"/>
        <v>0.16981280478212993</v>
      </c>
      <c r="K46" s="14">
        <f t="shared" si="5"/>
        <v>4.3574012899166285E-2</v>
      </c>
      <c r="L46" s="14">
        <f t="shared" si="5"/>
        <v>3.0596193172880291E-2</v>
      </c>
      <c r="M46" s="14">
        <f t="shared" si="5"/>
        <v>3.2955796759477747E-2</v>
      </c>
    </row>
    <row r="47" spans="1:20" x14ac:dyDescent="0.2">
      <c r="A47" s="21" t="s">
        <v>2</v>
      </c>
      <c r="B47" s="56">
        <f t="shared" si="5"/>
        <v>1.2658486707566459</v>
      </c>
      <c r="C47" s="14">
        <f t="shared" si="5"/>
        <v>1.2292748151643857</v>
      </c>
      <c r="D47" s="57">
        <f t="shared" si="5"/>
        <v>1.3437155891143622</v>
      </c>
      <c r="E47" s="52">
        <f t="shared" si="5"/>
        <v>0.33262545225735413</v>
      </c>
      <c r="F47" s="18"/>
      <c r="G47" s="14">
        <f t="shared" si="5"/>
        <v>0.28779298411200249</v>
      </c>
      <c r="H47" s="14">
        <f t="shared" si="5"/>
        <v>0.25711813748623569</v>
      </c>
      <c r="I47" s="14">
        <f t="shared" si="5"/>
        <v>0.26655655183262555</v>
      </c>
      <c r="J47" s="14">
        <f t="shared" si="5"/>
        <v>0.21346547113418282</v>
      </c>
      <c r="K47" s="14">
        <f t="shared" si="5"/>
        <v>0.1863300298883121</v>
      </c>
      <c r="L47" s="14">
        <f t="shared" si="5"/>
        <v>0.20638666037439046</v>
      </c>
      <c r="M47" s="14">
        <f t="shared" si="5"/>
        <v>0.17335221016202612</v>
      </c>
    </row>
    <row r="48" spans="1:20" x14ac:dyDescent="0.2">
      <c r="A48" s="21" t="s">
        <v>3</v>
      </c>
      <c r="B48" s="56">
        <f t="shared" si="5"/>
        <v>1.1360704734937861</v>
      </c>
      <c r="C48" s="14">
        <f t="shared" si="5"/>
        <v>0.99331445650464067</v>
      </c>
      <c r="D48" s="57">
        <f t="shared" si="5"/>
        <v>0.98741544753814692</v>
      </c>
      <c r="E48" s="52">
        <f t="shared" si="5"/>
        <v>0.17453201195532483</v>
      </c>
      <c r="F48" s="14">
        <f t="shared" si="5"/>
        <v>0.18279062450841593</v>
      </c>
      <c r="G48" s="14">
        <f t="shared" si="5"/>
        <v>0.20284725499449427</v>
      </c>
      <c r="H48" s="14">
        <f t="shared" si="5"/>
        <v>0.47892087462639615</v>
      </c>
      <c r="I48" s="14">
        <f t="shared" si="5"/>
        <v>0.42700959572125213</v>
      </c>
      <c r="J48" s="14">
        <f t="shared" si="5"/>
        <v>0.35150228095013364</v>
      </c>
      <c r="K48" s="14">
        <f t="shared" si="5"/>
        <v>0.27363536259241777</v>
      </c>
      <c r="L48" s="14">
        <f t="shared" si="5"/>
        <v>0.28779298411200249</v>
      </c>
      <c r="M48" s="14">
        <f t="shared" si="5"/>
        <v>0.25239893031304078</v>
      </c>
    </row>
    <row r="49" spans="1:13" x14ac:dyDescent="0.2">
      <c r="A49" s="21" t="s">
        <v>4</v>
      </c>
      <c r="B49" s="56">
        <f t="shared" si="5"/>
        <v>0.57684442347019049</v>
      </c>
      <c r="C49" s="14">
        <f t="shared" si="5"/>
        <v>0.66061035079439989</v>
      </c>
      <c r="D49" s="57">
        <f t="shared" si="5"/>
        <v>0.63347490954852925</v>
      </c>
      <c r="E49" s="52">
        <f t="shared" si="5"/>
        <v>0.43172880289444721</v>
      </c>
      <c r="F49" s="14">
        <f t="shared" si="5"/>
        <v>0.35504168633002992</v>
      </c>
      <c r="G49" s="14">
        <f t="shared" si="5"/>
        <v>0.41639137958156375</v>
      </c>
      <c r="H49" s="14">
        <f t="shared" si="5"/>
        <v>0.5744848198835929</v>
      </c>
      <c r="I49" s="14">
        <f t="shared" si="5"/>
        <v>0.53083215353154012</v>
      </c>
      <c r="J49" s="14">
        <f t="shared" si="5"/>
        <v>0.48128047821299358</v>
      </c>
      <c r="K49" s="14">
        <f t="shared" si="5"/>
        <v>0.39987415447538144</v>
      </c>
      <c r="L49" s="14">
        <f t="shared" si="5"/>
        <v>0.41993078496145991</v>
      </c>
      <c r="M49" s="14">
        <f t="shared" si="5"/>
        <v>0.37981752398930319</v>
      </c>
    </row>
    <row r="50" spans="1:13" x14ac:dyDescent="0.2">
      <c r="A50" s="21" t="s">
        <v>5</v>
      </c>
      <c r="B50" s="56">
        <f t="shared" si="5"/>
        <v>0.33144565046405539</v>
      </c>
      <c r="C50" s="14">
        <f t="shared" si="5"/>
        <v>0.32200723611766557</v>
      </c>
      <c r="D50" s="57">
        <f t="shared" si="5"/>
        <v>0.29723139845839247</v>
      </c>
      <c r="E50" s="52">
        <f t="shared" si="5"/>
        <v>0.45768444234701905</v>
      </c>
      <c r="F50" s="14">
        <f t="shared" si="5"/>
        <v>0.48364008179959106</v>
      </c>
      <c r="G50" s="14">
        <f t="shared" si="5"/>
        <v>0.52257354097844899</v>
      </c>
      <c r="H50" s="14">
        <f t="shared" si="5"/>
        <v>3.8854805725971379E-2</v>
      </c>
      <c r="I50" s="14">
        <f t="shared" si="5"/>
        <v>3.2955796759477747E-2</v>
      </c>
      <c r="J50" s="14">
        <f t="shared" si="5"/>
        <v>2.2337580619789205E-2</v>
      </c>
      <c r="K50" s="14">
        <f t="shared" si="5"/>
        <v>0.72785905301242737</v>
      </c>
      <c r="L50" s="14">
        <f t="shared" si="5"/>
        <v>0.67358817052068598</v>
      </c>
      <c r="M50" s="14">
        <f t="shared" si="5"/>
        <v>0.68538618845367316</v>
      </c>
    </row>
    <row r="51" spans="1:13" x14ac:dyDescent="0.2">
      <c r="A51" s="21" t="s">
        <v>6</v>
      </c>
      <c r="B51" s="56">
        <f t="shared" si="5"/>
        <v>7.18892559383357E-2</v>
      </c>
      <c r="C51" s="14">
        <f t="shared" si="5"/>
        <v>0.10256410256410256</v>
      </c>
      <c r="D51" s="57">
        <f t="shared" si="5"/>
        <v>0.13677835456976564</v>
      </c>
      <c r="E51" s="52">
        <f t="shared" si="5"/>
        <v>0.22408368727387137</v>
      </c>
      <c r="F51" s="14">
        <f t="shared" si="5"/>
        <v>0.23706150700015735</v>
      </c>
      <c r="G51" s="14">
        <f t="shared" si="5"/>
        <v>0.21700487651407899</v>
      </c>
      <c r="H51" s="14">
        <f t="shared" si="5"/>
        <v>0.22054428189397518</v>
      </c>
      <c r="I51" s="14">
        <f t="shared" si="5"/>
        <v>0.22762309265376754</v>
      </c>
      <c r="J51" s="14">
        <f t="shared" si="5"/>
        <v>0.17571181374862357</v>
      </c>
      <c r="K51" s="14">
        <f t="shared" si="5"/>
        <v>0.37391851502280943</v>
      </c>
      <c r="L51" s="14">
        <f t="shared" si="5"/>
        <v>0.32318703791096431</v>
      </c>
      <c r="M51" s="14">
        <f t="shared" si="5"/>
        <v>0.33734465943054903</v>
      </c>
    </row>
    <row r="52" spans="1:13" ht="16" thickBot="1" x14ac:dyDescent="0.25">
      <c r="A52" s="21" t="s">
        <v>7</v>
      </c>
      <c r="B52" s="58">
        <f t="shared" si="5"/>
        <v>-0.19356614755387758</v>
      </c>
      <c r="C52" s="59">
        <f t="shared" si="5"/>
        <v>-0.1735095170677993</v>
      </c>
      <c r="D52" s="60">
        <f t="shared" si="5"/>
        <v>-0.11923863457605789</v>
      </c>
      <c r="E52" s="52">
        <f t="shared" si="5"/>
        <v>0.68774579204027064</v>
      </c>
      <c r="F52" s="14">
        <f t="shared" si="5"/>
        <v>0.72785905301242737</v>
      </c>
      <c r="G52" s="14">
        <f t="shared" si="5"/>
        <v>0.72667925121912846</v>
      </c>
      <c r="H52" s="14">
        <f t="shared" si="5"/>
        <v>0.3255466414975618</v>
      </c>
      <c r="I52" s="14">
        <f t="shared" si="5"/>
        <v>0.3255466414975618</v>
      </c>
      <c r="J52" s="14">
        <f t="shared" si="5"/>
        <v>0.31728802894447067</v>
      </c>
      <c r="K52" s="14">
        <f t="shared" si="5"/>
        <v>0.73965707094541466</v>
      </c>
      <c r="L52" s="14">
        <f t="shared" si="5"/>
        <v>0.70190341355985542</v>
      </c>
      <c r="M52" s="14">
        <f t="shared" si="5"/>
        <v>0.73257826018562222</v>
      </c>
    </row>
    <row r="54" spans="1:13" x14ac:dyDescent="0.2">
      <c r="A54" s="15" t="s">
        <v>35</v>
      </c>
      <c r="B54" s="20"/>
      <c r="E54" s="15" t="s">
        <v>35</v>
      </c>
      <c r="I54" s="15" t="s">
        <v>35</v>
      </c>
    </row>
    <row r="55" spans="1:13" x14ac:dyDescent="0.2">
      <c r="A55" s="15" t="s">
        <v>9</v>
      </c>
      <c r="B55">
        <f>AVERAGE(E45:G45)</f>
        <v>0.28071417335221022</v>
      </c>
      <c r="C55">
        <f>STDEV(E45:G45)</f>
        <v>3.797422590710494E-2</v>
      </c>
      <c r="E55" s="16" t="s">
        <v>17</v>
      </c>
      <c r="F55">
        <f>AVERAGE(H45:J45)</f>
        <v>0.12262073305018088</v>
      </c>
      <c r="G55">
        <f>STDEV(H45:J45)</f>
        <v>1.1798017932987265E-3</v>
      </c>
      <c r="I55" s="16" t="s">
        <v>25</v>
      </c>
      <c r="J55">
        <f>AVERAGE(K45:M45)</f>
        <v>0.55954066383514245</v>
      </c>
      <c r="K55">
        <f>STDEV(K45:M45)</f>
        <v>6.7839458038125466E-2</v>
      </c>
      <c r="L55" s="17">
        <f>2*J55</f>
        <v>1.1190813276702849</v>
      </c>
    </row>
    <row r="56" spans="1:13" x14ac:dyDescent="0.2">
      <c r="A56" s="15" t="s">
        <v>10</v>
      </c>
      <c r="B56">
        <f t="shared" ref="B56:B61" si="6">AVERAGE(E46:G46)</f>
        <v>0.74712914896963989</v>
      </c>
      <c r="C56">
        <f t="shared" ref="C56:C61" si="7">STDEV(E46:G46)</f>
        <v>6.7086369786188357E-3</v>
      </c>
      <c r="D56" s="17">
        <f>2*B56</f>
        <v>1.4942582979392798</v>
      </c>
      <c r="E56" s="16" t="s">
        <v>18</v>
      </c>
      <c r="F56">
        <f t="shared" ref="F56:F62" si="8">AVERAGE(H46:J46)</f>
        <v>0.19694824602800065</v>
      </c>
      <c r="G56">
        <f t="shared" ref="G56:G62" si="9">STDEV(H46:J46)</f>
        <v>2.3507384196757068E-2</v>
      </c>
      <c r="H56" s="17">
        <f>2*F56</f>
        <v>0.3938964920560013</v>
      </c>
      <c r="I56" s="16" t="s">
        <v>26</v>
      </c>
      <c r="J56">
        <f t="shared" ref="J56:J62" si="10">AVERAGE(K46:M46)</f>
        <v>3.5708667610508109E-2</v>
      </c>
      <c r="K56">
        <f t="shared" ref="K56:K62" si="11">STDEV(K46:M46)</f>
        <v>6.9130076416733409E-3</v>
      </c>
    </row>
    <row r="57" spans="1:13" x14ac:dyDescent="0.2">
      <c r="A57" s="15" t="s">
        <v>11</v>
      </c>
      <c r="B57">
        <f>AVERAGE(E47:G47)</f>
        <v>0.31020921818467828</v>
      </c>
      <c r="C57">
        <f t="shared" si="7"/>
        <v>3.170134224290802E-2</v>
      </c>
      <c r="E57" s="16" t="s">
        <v>19</v>
      </c>
      <c r="F57">
        <f t="shared" si="8"/>
        <v>0.24571338681768137</v>
      </c>
      <c r="G57">
        <f t="shared" si="9"/>
        <v>2.8323434922181624E-2</v>
      </c>
      <c r="I57" s="16" t="s">
        <v>27</v>
      </c>
      <c r="J57">
        <f t="shared" si="10"/>
        <v>0.18868963347490955</v>
      </c>
      <c r="K57">
        <f t="shared" si="11"/>
        <v>1.664315240640148E-2</v>
      </c>
    </row>
    <row r="58" spans="1:13" x14ac:dyDescent="0.2">
      <c r="A58" s="15" t="s">
        <v>12</v>
      </c>
      <c r="B58">
        <f t="shared" si="6"/>
        <v>0.18672329715274502</v>
      </c>
      <c r="C58">
        <f t="shared" si="7"/>
        <v>1.4561513749861275E-2</v>
      </c>
      <c r="E58" s="16" t="s">
        <v>20</v>
      </c>
      <c r="F58">
        <f t="shared" si="8"/>
        <v>0.41914425043259396</v>
      </c>
      <c r="G58">
        <f t="shared" si="9"/>
        <v>6.4072398472286352E-2</v>
      </c>
      <c r="H58" s="17">
        <f>2*F58</f>
        <v>0.83828850086518791</v>
      </c>
      <c r="I58" s="16" t="s">
        <v>28</v>
      </c>
      <c r="J58">
        <f t="shared" si="10"/>
        <v>0.27127575900582035</v>
      </c>
      <c r="K58">
        <f t="shared" si="11"/>
        <v>1.7814616411681774E-2</v>
      </c>
      <c r="L58" s="17">
        <f>2*J58</f>
        <v>0.5425515180116407</v>
      </c>
    </row>
    <row r="59" spans="1:13" x14ac:dyDescent="0.2">
      <c r="A59" s="15" t="s">
        <v>13</v>
      </c>
      <c r="B59">
        <f t="shared" si="6"/>
        <v>0.40105395626868029</v>
      </c>
      <c r="C59">
        <f t="shared" si="7"/>
        <v>4.0579007838414026E-2</v>
      </c>
      <c r="E59" s="16" t="s">
        <v>21</v>
      </c>
      <c r="F59">
        <f t="shared" si="8"/>
        <v>0.52886581720937553</v>
      </c>
      <c r="G59">
        <f t="shared" si="9"/>
        <v>4.6633273372789864E-2</v>
      </c>
      <c r="I59" s="16" t="s">
        <v>29</v>
      </c>
      <c r="J59">
        <f t="shared" si="10"/>
        <v>0.39987415447538149</v>
      </c>
      <c r="K59">
        <f t="shared" si="11"/>
        <v>2.0056630486078364E-2</v>
      </c>
    </row>
    <row r="60" spans="1:13" x14ac:dyDescent="0.2">
      <c r="A60" s="15" t="s">
        <v>14</v>
      </c>
      <c r="B60">
        <f t="shared" si="6"/>
        <v>0.48796602170835301</v>
      </c>
      <c r="C60">
        <f t="shared" si="7"/>
        <v>3.2660130088083321E-2</v>
      </c>
      <c r="D60" s="17">
        <f>2*B60</f>
        <v>0.97593204341670603</v>
      </c>
      <c r="E60" s="16" t="s">
        <v>22</v>
      </c>
      <c r="F60">
        <f t="shared" si="8"/>
        <v>3.1382727701746112E-2</v>
      </c>
      <c r="G60">
        <f t="shared" si="9"/>
        <v>8.3702204867833838E-3</v>
      </c>
      <c r="I60" s="16" t="s">
        <v>30</v>
      </c>
      <c r="J60">
        <f t="shared" si="10"/>
        <v>0.69561113732892876</v>
      </c>
      <c r="K60">
        <f t="shared" si="11"/>
        <v>2.8543727090803939E-2</v>
      </c>
      <c r="L60" s="17">
        <f>2*J60</f>
        <v>1.3912222746578575</v>
      </c>
    </row>
    <row r="61" spans="1:13" x14ac:dyDescent="0.2">
      <c r="A61" s="15" t="s">
        <v>15</v>
      </c>
      <c r="B61">
        <f t="shared" si="6"/>
        <v>0.2260500235960359</v>
      </c>
      <c r="C61">
        <f t="shared" si="7"/>
        <v>1.0171871288640534E-2</v>
      </c>
      <c r="E61" s="16" t="s">
        <v>23</v>
      </c>
      <c r="F61">
        <f t="shared" si="8"/>
        <v>0.20795972943212207</v>
      </c>
      <c r="G61">
        <f t="shared" si="9"/>
        <v>2.8150904779256712E-2</v>
      </c>
      <c r="I61" s="16" t="s">
        <v>31</v>
      </c>
      <c r="J61">
        <f>AVERAGE(K51:M51)</f>
        <v>0.3448167374547742</v>
      </c>
      <c r="K61">
        <f t="shared" si="11"/>
        <v>2.6178133145575877E-2</v>
      </c>
    </row>
    <row r="62" spans="1:13" x14ac:dyDescent="0.2">
      <c r="A62" s="15" t="s">
        <v>16</v>
      </c>
      <c r="B62">
        <f t="shared" ref="B62" si="12">AVERAGE(E52:G52)</f>
        <v>0.71409469875727549</v>
      </c>
      <c r="C62">
        <f t="shared" ref="C62" si="13">STDEV(E52:G52)</f>
        <v>2.2826446218234132E-2</v>
      </c>
      <c r="E62" s="16" t="s">
        <v>24</v>
      </c>
      <c r="F62">
        <f t="shared" si="8"/>
        <v>0.32279377064653142</v>
      </c>
      <c r="G62">
        <f t="shared" si="9"/>
        <v>4.7681121806599849E-3</v>
      </c>
      <c r="I62" s="16" t="s">
        <v>32</v>
      </c>
      <c r="J62">
        <f t="shared" si="10"/>
        <v>0.7247129148969641</v>
      </c>
      <c r="K62">
        <f t="shared" si="11"/>
        <v>2.0068193836987682E-2</v>
      </c>
      <c r="L62" s="17">
        <f>2*J62</f>
        <v>1.4494258297939282</v>
      </c>
    </row>
    <row r="65" spans="3:4" x14ac:dyDescent="0.2">
      <c r="C65" s="17"/>
      <c r="D65" t="s">
        <v>33</v>
      </c>
    </row>
    <row r="66" spans="3:4" ht="16" thickBot="1" x14ac:dyDescent="0.25">
      <c r="C66" s="19"/>
      <c r="D66" t="s">
        <v>34</v>
      </c>
    </row>
    <row r="67" spans="3:4" ht="16" thickBot="1" x14ac:dyDescent="0.25">
      <c r="C67" s="62"/>
      <c r="D67" t="s">
        <v>36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Imaging Controller</dc:creator>
  <cp:lastModifiedBy>Chloe Carbonne</cp:lastModifiedBy>
  <dcterms:created xsi:type="dcterms:W3CDTF">2025-03-19T19:36:10Z</dcterms:created>
  <dcterms:modified xsi:type="dcterms:W3CDTF">2026-02-11T05:10:14Z</dcterms:modified>
</cp:coreProperties>
</file>