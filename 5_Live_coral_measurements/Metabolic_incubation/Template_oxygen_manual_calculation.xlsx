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loe.carbonne/Desktop/Postdoc Bermuda/Cours/Dalhousie/"/>
    </mc:Choice>
  </mc:AlternateContent>
  <xr:revisionPtr revIDLastSave="0" documentId="13_ncr:1_{BB07507B-5FE0-8445-A217-DE705D4B17C2}" xr6:coauthVersionLast="47" xr6:coauthVersionMax="47" xr10:uidLastSave="{00000000-0000-0000-0000-000000000000}"/>
  <bookViews>
    <workbookView xWindow="0" yWindow="740" windowWidth="29400" windowHeight="17080" xr2:uid="{44B6E88F-24F4-0849-B5F7-65355E2EDA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R2" i="1"/>
  <c r="R3" i="1"/>
  <c r="U3" i="1"/>
  <c r="S3" i="1"/>
  <c r="S2" i="1"/>
  <c r="U2" i="1"/>
  <c r="W2" i="1" l="1"/>
  <c r="Y2" i="1"/>
  <c r="AA2" i="1" s="1"/>
  <c r="W3" i="1"/>
  <c r="Y3" i="1" s="1"/>
  <c r="AA3" i="1" s="1"/>
</calcChain>
</file>

<file path=xl/sharedStrings.xml><?xml version="1.0" encoding="utf-8"?>
<sst xmlns="http://schemas.openxmlformats.org/spreadsheetml/2006/main" count="48" uniqueCount="34">
  <si>
    <t>date</t>
  </si>
  <si>
    <t>blank</t>
  </si>
  <si>
    <t>ambient</t>
  </si>
  <si>
    <t>time_start</t>
  </si>
  <si>
    <t>time_end</t>
  </si>
  <si>
    <t>incubation</t>
  </si>
  <si>
    <t>light</t>
  </si>
  <si>
    <t>A</t>
  </si>
  <si>
    <t>B</t>
  </si>
  <si>
    <t>oxygen_start</t>
  </si>
  <si>
    <t>oxygen_end</t>
  </si>
  <si>
    <t>sample_id</t>
  </si>
  <si>
    <t>treatment</t>
  </si>
  <si>
    <t>total_volume</t>
  </si>
  <si>
    <t>volume_coral</t>
  </si>
  <si>
    <t>volume_chamber</t>
  </si>
  <si>
    <t>surface_area</t>
  </si>
  <si>
    <t>cm2</t>
  </si>
  <si>
    <t>L</t>
  </si>
  <si>
    <t>dark</t>
  </si>
  <si>
    <r>
      <t>m</t>
    </r>
    <r>
      <rPr>
        <sz val="12"/>
        <color theme="1"/>
        <rFont val="Aptos"/>
      </rPr>
      <t>mol/L</t>
    </r>
  </si>
  <si>
    <t>diff_time</t>
  </si>
  <si>
    <t>diff_oxy</t>
  </si>
  <si>
    <r>
      <t>m</t>
    </r>
    <r>
      <rPr>
        <sz val="12"/>
        <color theme="1"/>
        <rFont val="Aptos"/>
      </rPr>
      <t>mol</t>
    </r>
  </si>
  <si>
    <t>oxy_quantity</t>
  </si>
  <si>
    <t>oxy_per_hour</t>
  </si>
  <si>
    <r>
      <t>m</t>
    </r>
    <r>
      <rPr>
        <sz val="12"/>
        <color theme="1"/>
        <rFont val="Aptos"/>
      </rPr>
      <t>mol/h</t>
    </r>
  </si>
  <si>
    <r>
      <t>m</t>
    </r>
    <r>
      <rPr>
        <sz val="12"/>
        <color theme="1"/>
        <rFont val="Aptos"/>
      </rPr>
      <t>mol/h/cm2</t>
    </r>
  </si>
  <si>
    <r>
      <t>m</t>
    </r>
    <r>
      <rPr>
        <sz val="12"/>
        <color theme="1"/>
        <rFont val="Aptos"/>
      </rPr>
      <t>mol/h/cm</t>
    </r>
    <r>
      <rPr>
        <sz val="12"/>
        <color theme="1"/>
        <rFont val="Symbol"/>
        <charset val="2"/>
      </rPr>
      <t>2</t>
    </r>
  </si>
  <si>
    <t>oxy_hour_surface</t>
  </si>
  <si>
    <t>min</t>
  </si>
  <si>
    <t>corr_oxy_hour</t>
  </si>
  <si>
    <t>delta_t_start</t>
  </si>
  <si>
    <t>delta_t_end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</si>
</sst>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Symbol"/>
      <charset val="2"/>
    </font>
    <font>
      <sz val="12"/>
      <color theme="1"/>
      <name val="Aptos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  <xf numFmtId="14" fontId="0" fillId="2" borderId="0" xfId="0" applyNumberFormat="1" applyFill="1"/>
    <xf numFmtId="0" fontId="1" fillId="2" borderId="0" xfId="0" applyFont="1" applyFill="1"/>
    <xf numFmtId="0" fontId="4" fillId="2" borderId="0" xfId="0" applyFont="1" applyFill="1"/>
    <xf numFmtId="0" fontId="5" fillId="0" borderId="0" xfId="0" applyFont="1"/>
    <xf numFmtId="20" fontId="0" fillId="0" borderId="0" xfId="0" applyNumberFormat="1"/>
    <xf numFmtId="2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A64B-6F67-B340-B06F-5165CA46F674}">
  <dimension ref="A1:AH3"/>
  <sheetViews>
    <sheetView tabSelected="1" zoomScale="112" workbookViewId="0">
      <selection activeCell="E7" sqref="E7"/>
    </sheetView>
  </sheetViews>
  <sheetFormatPr baseColWidth="10" defaultRowHeight="16" x14ac:dyDescent="0.2"/>
  <cols>
    <col min="5" max="5" width="15" bestFit="1" customWidth="1"/>
    <col min="6" max="6" width="12" bestFit="1" customWidth="1"/>
    <col min="8" max="8" width="2" bestFit="1" customWidth="1"/>
    <col min="10" max="10" width="4.6640625" bestFit="1" customWidth="1"/>
    <col min="11" max="11" width="9.5" bestFit="1" customWidth="1"/>
    <col min="12" max="12" width="8.6640625" bestFit="1" customWidth="1"/>
    <col min="13" max="13" width="10" bestFit="1" customWidth="1"/>
    <col min="14" max="14" width="9.1640625" bestFit="1" customWidth="1"/>
    <col min="15" max="15" width="4.1640625" bestFit="1" customWidth="1"/>
    <col min="16" max="16" width="7.5" customWidth="1"/>
    <col min="17" max="17" width="8.6640625" customWidth="1"/>
    <col min="20" max="20" width="7.33203125" bestFit="1" customWidth="1"/>
    <col min="31" max="31" width="15.33203125" bestFit="1" customWidth="1"/>
    <col min="32" max="32" width="12.33203125" bestFit="1" customWidth="1"/>
    <col min="33" max="33" width="19.83203125" bestFit="1" customWidth="1"/>
    <col min="34" max="34" width="12.33203125" bestFit="1" customWidth="1"/>
  </cols>
  <sheetData>
    <row r="1" spans="1:34" x14ac:dyDescent="0.2">
      <c r="A1" t="s">
        <v>0</v>
      </c>
      <c r="B1" t="s">
        <v>11</v>
      </c>
      <c r="C1" t="s">
        <v>12</v>
      </c>
      <c r="D1" t="s">
        <v>5</v>
      </c>
      <c r="E1" t="s">
        <v>15</v>
      </c>
      <c r="F1" t="s">
        <v>14</v>
      </c>
      <c r="G1" t="s">
        <v>13</v>
      </c>
      <c r="I1" t="s">
        <v>16</v>
      </c>
      <c r="K1" t="s">
        <v>3</v>
      </c>
      <c r="L1" t="s">
        <v>4</v>
      </c>
      <c r="M1" t="s">
        <v>32</v>
      </c>
      <c r="N1" t="s">
        <v>33</v>
      </c>
      <c r="P1" t="s">
        <v>7</v>
      </c>
      <c r="Q1" t="s">
        <v>8</v>
      </c>
      <c r="R1" t="s">
        <v>9</v>
      </c>
      <c r="S1" t="s">
        <v>10</v>
      </c>
      <c r="U1" t="s">
        <v>21</v>
      </c>
      <c r="W1" t="s">
        <v>22</v>
      </c>
      <c r="Y1" t="s">
        <v>24</v>
      </c>
      <c r="AA1" t="s">
        <v>25</v>
      </c>
      <c r="AC1" s="7" t="s">
        <v>31</v>
      </c>
      <c r="AE1" t="s">
        <v>29</v>
      </c>
      <c r="AG1" s="7"/>
    </row>
    <row r="2" spans="1:34" ht="19" customHeight="1" x14ac:dyDescent="0.2">
      <c r="A2" s="1"/>
      <c r="B2" t="s">
        <v>1</v>
      </c>
      <c r="C2" t="s">
        <v>2</v>
      </c>
      <c r="D2" t="s">
        <v>6</v>
      </c>
      <c r="E2">
        <v>0.64</v>
      </c>
      <c r="F2">
        <v>0</v>
      </c>
      <c r="G2">
        <f>E2-F2</f>
        <v>0.64</v>
      </c>
      <c r="H2" t="s">
        <v>18</v>
      </c>
      <c r="I2">
        <v>1</v>
      </c>
      <c r="J2" t="s">
        <v>17</v>
      </c>
      <c r="K2" s="8"/>
      <c r="L2" s="8"/>
      <c r="O2" t="s">
        <v>30</v>
      </c>
      <c r="R2">
        <f>P2*M2+Q2</f>
        <v>0</v>
      </c>
      <c r="S2">
        <f>P2*N2+Q2</f>
        <v>0</v>
      </c>
      <c r="T2" s="2" t="s">
        <v>20</v>
      </c>
      <c r="U2">
        <f>N2-M2</f>
        <v>0</v>
      </c>
      <c r="V2" t="s">
        <v>30</v>
      </c>
      <c r="W2">
        <f>S2-R2</f>
        <v>0</v>
      </c>
      <c r="X2" s="2" t="s">
        <v>20</v>
      </c>
      <c r="Y2">
        <f>W2*G2</f>
        <v>0</v>
      </c>
      <c r="Z2" s="2" t="s">
        <v>23</v>
      </c>
      <c r="AA2" t="e">
        <f>Y2/U2*60</f>
        <v>#DIV/0!</v>
      </c>
      <c r="AB2" s="2" t="s">
        <v>26</v>
      </c>
      <c r="AC2" s="2"/>
      <c r="AD2" s="2" t="s">
        <v>26</v>
      </c>
      <c r="AF2" s="2" t="s">
        <v>27</v>
      </c>
      <c r="AH2" s="2"/>
    </row>
    <row r="3" spans="1:34" s="3" customFormat="1" x14ac:dyDescent="0.2">
      <c r="A3" s="4"/>
      <c r="B3" s="3" t="s">
        <v>1</v>
      </c>
      <c r="C3" s="3" t="s">
        <v>2</v>
      </c>
      <c r="D3" s="6" t="s">
        <v>19</v>
      </c>
      <c r="E3" s="3">
        <v>0.64</v>
      </c>
      <c r="F3" s="3">
        <v>0</v>
      </c>
      <c r="G3" s="3">
        <f>E3-F3</f>
        <v>0.64</v>
      </c>
      <c r="H3" s="3" t="s">
        <v>18</v>
      </c>
      <c r="I3" s="3">
        <v>1</v>
      </c>
      <c r="J3" s="3" t="s">
        <v>17</v>
      </c>
      <c r="K3" s="9"/>
      <c r="L3" s="9"/>
      <c r="O3" s="3" t="s">
        <v>30</v>
      </c>
      <c r="R3" s="3">
        <f>P3*M3+Q3</f>
        <v>0</v>
      </c>
      <c r="S3" s="3">
        <f>P3*N3+Q3</f>
        <v>0</v>
      </c>
      <c r="T3" s="5" t="s">
        <v>20</v>
      </c>
      <c r="U3" s="3">
        <f>N3-M3</f>
        <v>0</v>
      </c>
      <c r="V3" s="3" t="s">
        <v>30</v>
      </c>
      <c r="W3" s="3">
        <f>S3-R3</f>
        <v>0</v>
      </c>
      <c r="X3" s="5" t="s">
        <v>20</v>
      </c>
      <c r="Y3" s="3">
        <f>W3*G3</f>
        <v>0</v>
      </c>
      <c r="Z3" s="5" t="s">
        <v>23</v>
      </c>
      <c r="AA3" s="3" t="e">
        <f>Y3/U3*60</f>
        <v>#DIV/0!</v>
      </c>
      <c r="AB3" s="5" t="s">
        <v>26</v>
      </c>
      <c r="AC3" s="5"/>
      <c r="AD3" s="5" t="s">
        <v>26</v>
      </c>
      <c r="AF3" s="5" t="s">
        <v>28</v>
      </c>
      <c r="AH3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Carbonne</dc:creator>
  <cp:lastModifiedBy>Chloe Carbonne</cp:lastModifiedBy>
  <dcterms:created xsi:type="dcterms:W3CDTF">2024-05-06T18:35:27Z</dcterms:created>
  <dcterms:modified xsi:type="dcterms:W3CDTF">2026-02-10T09:42:29Z</dcterms:modified>
</cp:coreProperties>
</file>