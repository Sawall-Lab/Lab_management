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erick.bakker\Dropbox (ASU)\Eddy Reef Summer 2022\Protocols\chl-a\"/>
    </mc:Choice>
  </mc:AlternateContent>
  <xr:revisionPtr revIDLastSave="0" documentId="13_ncr:1_{961DAE88-D547-4B3F-AD0D-560F0B8C3155}" xr6:coauthVersionLast="47" xr6:coauthVersionMax="47" xr10:uidLastSave="{00000000-0000-0000-0000-000000000000}"/>
  <bookViews>
    <workbookView xWindow="-108" yWindow="-108" windowWidth="23256" windowHeight="12456" xr2:uid="{4D72588A-BAD1-4027-A8D1-D91F1517D741}"/>
  </bookViews>
  <sheets>
    <sheet name="fluorescence" sheetId="2" r:id="rId1"/>
    <sheet name="cal_coef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2" l="1"/>
  <c r="B6" i="1"/>
  <c r="G6" i="2" l="1"/>
  <c r="H6" i="2"/>
  <c r="I6" i="2" s="1"/>
</calcChain>
</file>

<file path=xl/sharedStrings.xml><?xml version="1.0" encoding="utf-8"?>
<sst xmlns="http://schemas.openxmlformats.org/spreadsheetml/2006/main" count="19" uniqueCount="19">
  <si>
    <t>r</t>
  </si>
  <si>
    <t>fs</t>
  </si>
  <si>
    <t>r1</t>
  </si>
  <si>
    <t>Date</t>
  </si>
  <si>
    <t>Secondary standard</t>
  </si>
  <si>
    <t>Blank</t>
  </si>
  <si>
    <t>Sample</t>
  </si>
  <si>
    <t>F0</t>
  </si>
  <si>
    <t>FA</t>
  </si>
  <si>
    <t>chl-a (%)</t>
  </si>
  <si>
    <t>notes</t>
  </si>
  <si>
    <t>pigs_total (ug/L)</t>
  </si>
  <si>
    <t>pigs_phaeo (ug/L)</t>
  </si>
  <si>
    <t>pigs_chl (ug/L)</t>
  </si>
  <si>
    <t>Machine:</t>
  </si>
  <si>
    <t>BATS Trilogy</t>
  </si>
  <si>
    <t>Calibration:</t>
  </si>
  <si>
    <t>sample_volume (mL)</t>
  </si>
  <si>
    <t>solvent_volume (mL)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</si>
</sst>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5323A-0CA0-4881-8ECB-F05AC334B961}">
  <dimension ref="A1:J6"/>
  <sheetViews>
    <sheetView tabSelected="1" workbookViewId="0">
      <selection activeCell="E6" sqref="E6"/>
    </sheetView>
  </sheetViews>
  <sheetFormatPr defaultRowHeight="14.4" x14ac:dyDescent="0.3"/>
  <cols>
    <col min="1" max="1" width="17.6640625" style="5" customWidth="1"/>
    <col min="2" max="3" width="12.6640625" customWidth="1"/>
    <col min="4" max="4" width="18" bestFit="1" customWidth="1"/>
    <col min="5" max="5" width="18.109375" bestFit="1" customWidth="1"/>
    <col min="6" max="6" width="14.21875" bestFit="1" customWidth="1"/>
    <col min="7" max="7" width="15.44140625" bestFit="1" customWidth="1"/>
    <col min="8" max="8" width="12.5546875" bestFit="1" customWidth="1"/>
    <col min="9" max="9" width="8" bestFit="1" customWidth="1"/>
  </cols>
  <sheetData>
    <row r="1" spans="1:10" x14ac:dyDescent="0.3">
      <c r="A1" s="4" t="s">
        <v>3</v>
      </c>
    </row>
    <row r="2" spans="1:10" x14ac:dyDescent="0.3">
      <c r="A2" s="4" t="s">
        <v>4</v>
      </c>
    </row>
    <row r="3" spans="1:10" x14ac:dyDescent="0.3">
      <c r="A3" s="4" t="s">
        <v>5</v>
      </c>
      <c r="B3">
        <v>0</v>
      </c>
    </row>
    <row r="5" spans="1:10" s="1" customFormat="1" x14ac:dyDescent="0.3">
      <c r="A5" s="6" t="s">
        <v>6</v>
      </c>
      <c r="B5" s="1" t="s">
        <v>7</v>
      </c>
      <c r="C5" s="1" t="s">
        <v>8</v>
      </c>
      <c r="D5" s="1" t="s">
        <v>17</v>
      </c>
      <c r="E5" s="1" t="s">
        <v>18</v>
      </c>
      <c r="F5" s="1" t="s">
        <v>11</v>
      </c>
      <c r="G5" s="1" t="s">
        <v>12</v>
      </c>
      <c r="H5" s="1" t="s">
        <v>13</v>
      </c>
      <c r="I5" s="1" t="s">
        <v>9</v>
      </c>
      <c r="J5" s="1" t="s">
        <v>10</v>
      </c>
    </row>
    <row r="6" spans="1:10" x14ac:dyDescent="0.3">
      <c r="B6">
        <v>0</v>
      </c>
      <c r="C6">
        <v>0</v>
      </c>
      <c r="D6">
        <v>1</v>
      </c>
      <c r="E6">
        <v>1</v>
      </c>
      <c r="F6">
        <f>(cal_coef!$B$6 * cal_coef!$B$5) * (B6 - $B$3) * (E6/D6)</f>
        <v>0</v>
      </c>
      <c r="G6">
        <f>(cal_coef!$B$6 * cal_coef!$B$5) * (C6 - $B$3) * (E6/D6)</f>
        <v>0</v>
      </c>
      <c r="H6">
        <f xml:space="preserve"> F6 - G6</f>
        <v>0</v>
      </c>
      <c r="I6" t="e">
        <f xml:space="preserve"> H6/F6 * 100</f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7A7D5-F0C4-4739-BEE7-36905338FDFB}">
  <dimension ref="A1:D6"/>
  <sheetViews>
    <sheetView workbookViewId="0">
      <selection activeCell="E5" sqref="E5"/>
    </sheetView>
  </sheetViews>
  <sheetFormatPr defaultRowHeight="14.4" x14ac:dyDescent="0.3"/>
  <sheetData>
    <row r="1" spans="1:4" x14ac:dyDescent="0.3">
      <c r="A1" s="7" t="s">
        <v>14</v>
      </c>
      <c r="B1" s="7"/>
      <c r="C1" s="7" t="s">
        <v>15</v>
      </c>
      <c r="D1" s="7"/>
    </row>
    <row r="2" spans="1:4" x14ac:dyDescent="0.3">
      <c r="A2" s="7" t="s">
        <v>16</v>
      </c>
      <c r="B2" s="7"/>
      <c r="C2" s="7">
        <v>2022</v>
      </c>
      <c r="D2" s="7"/>
    </row>
    <row r="4" spans="1:4" ht="15.6" x14ac:dyDescent="0.3">
      <c r="A4" s="3" t="s">
        <v>0</v>
      </c>
      <c r="B4" s="2">
        <v>1.72261864757482</v>
      </c>
    </row>
    <row r="5" spans="1:4" ht="15.6" x14ac:dyDescent="0.3">
      <c r="A5" s="3" t="s">
        <v>1</v>
      </c>
      <c r="B5" s="2">
        <v>1.4738077309919299E-3</v>
      </c>
    </row>
    <row r="6" spans="1:4" ht="15.6" x14ac:dyDescent="0.3">
      <c r="A6" s="3" t="s">
        <v>2</v>
      </c>
      <c r="B6" s="2">
        <f>B4/(B4-1)</f>
        <v>2.383855790818711</v>
      </c>
    </row>
  </sheetData>
  <mergeCells count="4">
    <mergeCell ref="A1:B1"/>
    <mergeCell ref="C1:D1"/>
    <mergeCell ref="A2:B2"/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fluorescence</vt:lpstr>
      <vt:lpstr>cal_coef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Roderick Bakker</dc:creator>
  <cp:lastModifiedBy>Roderick Bakker</cp:lastModifiedBy>
  <dcterms:created xsi:type="dcterms:W3CDTF">2022-10-19T19:21:48Z</dcterms:created>
  <dcterms:modified xsi:type="dcterms:W3CDTF">2023-12-07T20:59:33Z</dcterms:modified>
</cp:coreProperties>
</file>