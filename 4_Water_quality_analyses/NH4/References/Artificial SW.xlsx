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My Drive\BIOS\Projects\Rachel\NH4_protocol\protocols\"/>
    </mc:Choice>
  </mc:AlternateContent>
  <xr:revisionPtr revIDLastSave="0" documentId="13_ncr:1_{024C8679-9821-4ACA-A244-06F1BE9EF19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25" i="1" l="1"/>
  <c r="B27" i="1"/>
  <c r="E25" i="1"/>
  <c r="D14" i="1"/>
  <c r="E14" i="1" s="1"/>
  <c r="D20" i="1"/>
  <c r="G20" i="1" s="1"/>
  <c r="H20" i="1" s="1"/>
  <c r="I20" i="1" s="1"/>
  <c r="D19" i="1"/>
  <c r="E19" i="1" s="1"/>
  <c r="D18" i="1"/>
  <c r="E18" i="1" s="1"/>
  <c r="G18" i="1"/>
  <c r="G7" i="1"/>
  <c r="D8" i="1"/>
  <c r="E8" i="1" s="1"/>
  <c r="D9" i="1"/>
  <c r="E9" i="1" s="1"/>
  <c r="D10" i="1"/>
  <c r="E10" i="1" s="1"/>
  <c r="D11" i="1"/>
  <c r="E11" i="1" s="1"/>
  <c r="D12" i="1"/>
  <c r="G12" i="1" s="1"/>
  <c r="H12" i="1" s="1"/>
  <c r="I12" i="1" s="1"/>
  <c r="D7" i="1"/>
  <c r="E7" i="1" s="1"/>
  <c r="C7" i="1"/>
  <c r="C19" i="1"/>
  <c r="C20" i="1"/>
  <c r="C18" i="1"/>
  <c r="C8" i="1"/>
  <c r="C9" i="1"/>
  <c r="C10" i="1"/>
  <c r="C12" i="1"/>
  <c r="C11" i="1"/>
  <c r="G11" i="1" l="1"/>
  <c r="H11" i="1" s="1"/>
  <c r="E22" i="1"/>
  <c r="F22" i="1" s="1"/>
  <c r="I11" i="1"/>
  <c r="E12" i="1"/>
</calcChain>
</file>

<file path=xl/sharedStrings.xml><?xml version="1.0" encoding="utf-8"?>
<sst xmlns="http://schemas.openxmlformats.org/spreadsheetml/2006/main" count="42" uniqueCount="38">
  <si>
    <t>salt</t>
  </si>
  <si>
    <t>Molar Mass (g/mol)</t>
  </si>
  <si>
    <t>target conc (mol/L)</t>
  </si>
  <si>
    <t>amount to add (g)</t>
  </si>
  <si>
    <t>NaCl</t>
  </si>
  <si>
    <t>Na2SO4</t>
  </si>
  <si>
    <t>KCl</t>
  </si>
  <si>
    <t>KBr</t>
  </si>
  <si>
    <t>H3BO3</t>
  </si>
  <si>
    <t>NaF</t>
  </si>
  <si>
    <t>Salt</t>
  </si>
  <si>
    <t>molar mass (g/mol)</t>
  </si>
  <si>
    <t>amount (g)</t>
  </si>
  <si>
    <t>MgCl2 * 6H2O</t>
  </si>
  <si>
    <t>CaCl2 * 2H2O</t>
  </si>
  <si>
    <t>SrCl2 * 6H2O</t>
  </si>
  <si>
    <t>NaHCO3</t>
  </si>
  <si>
    <t>Final volume (L)</t>
  </si>
  <si>
    <t>Liters of DI water</t>
  </si>
  <si>
    <t>Dissolve Hydrous in 40% of final volume:</t>
  </si>
  <si>
    <t>dissolve anhydrous in 60% of final volume:</t>
  </si>
  <si>
    <t>Desired Volume of Aquil:</t>
  </si>
  <si>
    <t>Liters</t>
  </si>
  <si>
    <t>FILL IN GRAY BOX ONLY</t>
  </si>
  <si>
    <t>(mls of stock solution)</t>
  </si>
  <si>
    <t>Add later:</t>
  </si>
  <si>
    <t>Anhydrous Salts</t>
  </si>
  <si>
    <t>Hydrous Salts</t>
  </si>
  <si>
    <t>Nutrients</t>
  </si>
  <si>
    <t>NaNO3</t>
  </si>
  <si>
    <t>Stock</t>
  </si>
  <si>
    <t>100 mM</t>
  </si>
  <si>
    <t>ml to add</t>
  </si>
  <si>
    <t>(mls of stock)</t>
  </si>
  <si>
    <t>amount per ml</t>
  </si>
  <si>
    <t>g per 100mL</t>
  </si>
  <si>
    <t>amount from stock (g)</t>
  </si>
  <si>
    <t>missing??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</si>
</sst>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1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/>
    <xf numFmtId="0" fontId="5" fillId="0" borderId="0" xfId="0" applyFont="1"/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4" fillId="0" borderId="0" xfId="0" applyFont="1"/>
    <xf numFmtId="0" fontId="4" fillId="0" borderId="0" xfId="0" applyFont="1" applyAlignment="1">
      <alignment wrapText="1"/>
    </xf>
    <xf numFmtId="0" fontId="4" fillId="0" borderId="0" xfId="0" applyFont="1" applyAlignment="1">
      <alignment horizontal="center" wrapText="1"/>
    </xf>
    <xf numFmtId="11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4" fontId="0" fillId="0" borderId="0" xfId="0" applyNumberFormat="1"/>
    <xf numFmtId="0" fontId="0" fillId="3" borderId="0" xfId="0" applyFill="1"/>
    <xf numFmtId="0" fontId="0" fillId="3" borderId="0" xfId="0" applyFill="1" applyAlignment="1">
      <alignment horizontal="center"/>
    </xf>
    <xf numFmtId="11" fontId="0" fillId="3" borderId="0" xfId="0" applyNumberFormat="1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wrapText="1"/>
    </xf>
    <xf numFmtId="0" fontId="6" fillId="3" borderId="0" xfId="0" applyFont="1" applyFill="1"/>
    <xf numFmtId="0" fontId="6" fillId="3" borderId="0" xfId="0" applyFont="1" applyFill="1" applyAlignment="1">
      <alignment horizontal="center"/>
    </xf>
    <xf numFmtId="11" fontId="6" fillId="3" borderId="0" xfId="0" applyNumberFormat="1" applyFont="1" applyFill="1" applyAlignment="1">
      <alignment horizontal="center"/>
    </xf>
    <xf numFmtId="164" fontId="6" fillId="3" borderId="0" xfId="0" applyNumberFormat="1" applyFont="1" applyFill="1" applyAlignment="1">
      <alignment horizontal="center"/>
    </xf>
    <xf numFmtId="2" fontId="6" fillId="3" borderId="0" xfId="0" applyNumberFormat="1" applyFont="1" applyFill="1"/>
    <xf numFmtId="165" fontId="0" fillId="0" borderId="0" xfId="0" applyNumberFormat="1"/>
    <xf numFmtId="0" fontId="6" fillId="4" borderId="0" xfId="0" applyFont="1" applyFill="1"/>
  </cellXfs>
  <cellStyles count="2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7"/>
  <sheetViews>
    <sheetView tabSelected="1" workbookViewId="0">
      <selection activeCell="B4" sqref="B4"/>
    </sheetView>
  </sheetViews>
  <sheetFormatPr defaultColWidth="11.19921875" defaultRowHeight="15.6" x14ac:dyDescent="0.3"/>
  <cols>
    <col min="1" max="1" width="21.69921875" customWidth="1"/>
    <col min="2" max="5" width="11.69921875" customWidth="1"/>
    <col min="6" max="6" width="13.69921875" bestFit="1" customWidth="1"/>
    <col min="7" max="7" width="20.09765625" customWidth="1"/>
    <col min="8" max="8" width="15.19921875" bestFit="1" customWidth="1"/>
  </cols>
  <sheetData>
    <row r="1" spans="1:13" ht="21" x14ac:dyDescent="0.4">
      <c r="A1" s="4" t="s">
        <v>23</v>
      </c>
    </row>
    <row r="2" spans="1:13" ht="21" x14ac:dyDescent="0.4">
      <c r="A2" s="4"/>
    </row>
    <row r="3" spans="1:13" ht="15" customHeight="1" x14ac:dyDescent="0.3">
      <c r="A3" s="7" t="s">
        <v>21</v>
      </c>
      <c r="B3" s="3">
        <v>2</v>
      </c>
      <c r="C3" t="s">
        <v>22</v>
      </c>
    </row>
    <row r="4" spans="1:13" ht="15" customHeight="1" x14ac:dyDescent="0.3"/>
    <row r="5" spans="1:13" ht="27.6" customHeight="1" x14ac:dyDescent="0.3">
      <c r="A5" s="7" t="s">
        <v>26</v>
      </c>
    </row>
    <row r="6" spans="1:13" ht="35.4" customHeight="1" x14ac:dyDescent="0.3">
      <c r="A6" s="7" t="s">
        <v>10</v>
      </c>
      <c r="B6" s="9" t="s">
        <v>1</v>
      </c>
      <c r="C6" s="9" t="s">
        <v>2</v>
      </c>
      <c r="D6" s="9" t="s">
        <v>17</v>
      </c>
      <c r="E6" s="9" t="s">
        <v>3</v>
      </c>
      <c r="G6" s="8" t="s">
        <v>20</v>
      </c>
    </row>
    <row r="7" spans="1:13" s="13" customFormat="1" x14ac:dyDescent="0.3">
      <c r="A7" s="13" t="s">
        <v>4</v>
      </c>
      <c r="B7" s="14">
        <v>58.44</v>
      </c>
      <c r="C7" s="15">
        <f>4.2*10^(-1)</f>
        <v>0.42000000000000004</v>
      </c>
      <c r="D7" s="14">
        <f>$B$3</f>
        <v>2</v>
      </c>
      <c r="E7" s="16">
        <f>B7*C7*D7</f>
        <v>49.089600000000004</v>
      </c>
      <c r="G7" s="13">
        <f>B3*0.6</f>
        <v>1.2</v>
      </c>
      <c r="H7" s="13" t="s">
        <v>18</v>
      </c>
    </row>
    <row r="8" spans="1:13" s="13" customFormat="1" x14ac:dyDescent="0.3">
      <c r="A8" s="13" t="s">
        <v>5</v>
      </c>
      <c r="B8" s="14">
        <v>142.04</v>
      </c>
      <c r="C8" s="15">
        <f>2.88*10^(-2)</f>
        <v>2.8799999999999999E-2</v>
      </c>
      <c r="D8" s="14">
        <f t="shared" ref="D8:D14" si="0">$B$3</f>
        <v>2</v>
      </c>
      <c r="E8" s="16">
        <f t="shared" ref="E8:E9" si="1">B8*C8*D8</f>
        <v>8.1815039999999986</v>
      </c>
      <c r="G8" s="17"/>
    </row>
    <row r="9" spans="1:13" x14ac:dyDescent="0.3">
      <c r="A9" t="s">
        <v>6</v>
      </c>
      <c r="B9" s="2">
        <v>74.55</v>
      </c>
      <c r="C9" s="5">
        <f>9.39*10^(-3)</f>
        <v>9.3900000000000008E-3</v>
      </c>
      <c r="D9" s="2">
        <f t="shared" si="0"/>
        <v>2</v>
      </c>
      <c r="E9" s="6">
        <f t="shared" si="1"/>
        <v>1.4000490000000001</v>
      </c>
    </row>
    <row r="10" spans="1:13" x14ac:dyDescent="0.3">
      <c r="A10" t="s">
        <v>7</v>
      </c>
      <c r="B10" s="2">
        <v>119</v>
      </c>
      <c r="C10" s="5">
        <f>8.4*(10^-4)</f>
        <v>8.4000000000000003E-4</v>
      </c>
      <c r="D10" s="2">
        <f t="shared" si="0"/>
        <v>2</v>
      </c>
      <c r="E10" s="6">
        <f>B10*C10*D10</f>
        <v>0.19992000000000001</v>
      </c>
      <c r="G10" s="9" t="s">
        <v>36</v>
      </c>
      <c r="H10" t="s">
        <v>34</v>
      </c>
      <c r="I10" t="s">
        <v>35</v>
      </c>
    </row>
    <row r="11" spans="1:13" ht="15" customHeight="1" x14ac:dyDescent="0.3">
      <c r="A11" t="s">
        <v>8</v>
      </c>
      <c r="B11" s="2">
        <v>61.83</v>
      </c>
      <c r="C11" s="5">
        <f>4.85*10^(-5)</f>
        <v>4.85E-5</v>
      </c>
      <c r="D11" s="2">
        <f t="shared" si="0"/>
        <v>2</v>
      </c>
      <c r="E11" s="6">
        <f>D11</f>
        <v>2</v>
      </c>
      <c r="F11" t="s">
        <v>24</v>
      </c>
      <c r="G11" s="23">
        <f>B11*C11*D11</f>
        <v>5.9975100000000002E-3</v>
      </c>
      <c r="H11">
        <f>G11/D11</f>
        <v>2.9987550000000001E-3</v>
      </c>
      <c r="I11">
        <f>H11*100</f>
        <v>0.29987550000000002</v>
      </c>
    </row>
    <row r="12" spans="1:13" x14ac:dyDescent="0.3">
      <c r="A12" t="s">
        <v>9</v>
      </c>
      <c r="B12" s="2">
        <v>41.99</v>
      </c>
      <c r="C12" s="5">
        <f>7.15*10^(-5)</f>
        <v>7.1500000000000003E-5</v>
      </c>
      <c r="D12" s="2">
        <f t="shared" si="0"/>
        <v>2</v>
      </c>
      <c r="E12" s="6">
        <f>D12</f>
        <v>2</v>
      </c>
      <c r="F12" t="s">
        <v>24</v>
      </c>
      <c r="G12" s="23">
        <f>B12*C12*D12</f>
        <v>6.0045700000000007E-3</v>
      </c>
      <c r="H12">
        <f>G12/D12</f>
        <v>3.0022850000000004E-3</v>
      </c>
      <c r="I12">
        <f>H12*100</f>
        <v>0.30022850000000001</v>
      </c>
    </row>
    <row r="13" spans="1:13" x14ac:dyDescent="0.3">
      <c r="A13" s="7" t="s">
        <v>25</v>
      </c>
      <c r="B13" s="2"/>
      <c r="C13" s="5"/>
      <c r="D13" s="2"/>
      <c r="E13" s="6"/>
    </row>
    <row r="14" spans="1:13" s="18" customFormat="1" x14ac:dyDescent="0.3">
      <c r="A14" s="18" t="s">
        <v>16</v>
      </c>
      <c r="B14" s="19">
        <v>85</v>
      </c>
      <c r="C14" s="20">
        <v>4.0000000000000001E-3</v>
      </c>
      <c r="D14" s="19">
        <f t="shared" si="0"/>
        <v>2</v>
      </c>
      <c r="E14" s="21">
        <f t="shared" ref="E14" si="2">B14*C14*D14</f>
        <v>0.68</v>
      </c>
      <c r="F14" s="24" t="s">
        <v>37</v>
      </c>
      <c r="M14" s="22"/>
    </row>
    <row r="15" spans="1:13" x14ac:dyDescent="0.3">
      <c r="B15" s="2"/>
      <c r="C15" s="5"/>
      <c r="D15" s="2"/>
      <c r="E15" s="6"/>
      <c r="M15" s="1"/>
    </row>
    <row r="16" spans="1:13" x14ac:dyDescent="0.3">
      <c r="A16" s="7" t="s">
        <v>27</v>
      </c>
    </row>
    <row r="17" spans="1:12" ht="38.4" customHeight="1" x14ac:dyDescent="0.3">
      <c r="A17" s="7" t="s">
        <v>0</v>
      </c>
      <c r="B17" s="9" t="s">
        <v>11</v>
      </c>
      <c r="C17" s="10" t="s">
        <v>2</v>
      </c>
      <c r="D17" s="9" t="s">
        <v>17</v>
      </c>
      <c r="E17" s="11" t="s">
        <v>12</v>
      </c>
      <c r="G17" s="8" t="s">
        <v>19</v>
      </c>
    </row>
    <row r="18" spans="1:12" s="13" customFormat="1" x14ac:dyDescent="0.3">
      <c r="A18" s="13" t="s">
        <v>13</v>
      </c>
      <c r="B18" s="14">
        <v>203.3</v>
      </c>
      <c r="C18" s="15">
        <f>5.46*10^(-2)</f>
        <v>5.4600000000000003E-2</v>
      </c>
      <c r="D18" s="14">
        <f t="shared" ref="D18:D20" si="3">$B$3</f>
        <v>2</v>
      </c>
      <c r="E18" s="16">
        <f>B18*C18*D18</f>
        <v>22.200360000000003</v>
      </c>
      <c r="G18" s="13">
        <f>B3*0.4</f>
        <v>0.8</v>
      </c>
      <c r="H18" s="13" t="s">
        <v>18</v>
      </c>
    </row>
    <row r="19" spans="1:12" s="13" customFormat="1" x14ac:dyDescent="0.3">
      <c r="A19" s="13" t="s">
        <v>14</v>
      </c>
      <c r="B19" s="14">
        <v>151.30000000000001</v>
      </c>
      <c r="C19" s="15">
        <f>1.5*10^(-2)</f>
        <v>1.4999999999999999E-2</v>
      </c>
      <c r="D19" s="14">
        <f t="shared" si="3"/>
        <v>2</v>
      </c>
      <c r="E19" s="16">
        <f t="shared" ref="E19" si="4">B19*C19*D19</f>
        <v>4.5390000000000006</v>
      </c>
      <c r="G19" s="17"/>
    </row>
    <row r="20" spans="1:12" x14ac:dyDescent="0.3">
      <c r="A20" t="s">
        <v>15</v>
      </c>
      <c r="B20" s="2">
        <v>266.62</v>
      </c>
      <c r="C20" s="5">
        <f>6.38*10^(-5)</f>
        <v>6.3800000000000006E-5</v>
      </c>
      <c r="D20" s="2">
        <f t="shared" si="3"/>
        <v>2</v>
      </c>
      <c r="E20" s="6">
        <v>2</v>
      </c>
      <c r="F20" t="s">
        <v>33</v>
      </c>
      <c r="G20" s="23">
        <f>B20*C20*D20</f>
        <v>3.4020712000000002E-2</v>
      </c>
      <c r="H20">
        <f>G20/D20</f>
        <v>1.7010356000000001E-2</v>
      </c>
      <c r="I20">
        <f>H20*100</f>
        <v>1.7010356</v>
      </c>
    </row>
    <row r="22" spans="1:12" x14ac:dyDescent="0.3">
      <c r="E22" s="12">
        <f>SUM(E7,E8,E9,E10,E18,E19)</f>
        <v>85.610433000000015</v>
      </c>
      <c r="F22">
        <f>E22/20000</f>
        <v>4.2805216500000007E-3</v>
      </c>
    </row>
    <row r="23" spans="1:12" x14ac:dyDescent="0.3">
      <c r="J23" s="1"/>
      <c r="L23" s="1"/>
    </row>
    <row r="24" spans="1:12" x14ac:dyDescent="0.3">
      <c r="A24" t="s">
        <v>28</v>
      </c>
      <c r="B24" t="s">
        <v>30</v>
      </c>
      <c r="E24" t="s">
        <v>32</v>
      </c>
    </row>
    <row r="25" spans="1:12" x14ac:dyDescent="0.3">
      <c r="A25" t="s">
        <v>29</v>
      </c>
      <c r="B25" t="s">
        <v>31</v>
      </c>
      <c r="C25">
        <f>1/1000/1000</f>
        <v>9.9999999999999995E-7</v>
      </c>
      <c r="D25">
        <v>20</v>
      </c>
      <c r="E25">
        <f>(D25*C25)/(0.1) *1000</f>
        <v>0.19999999999999998</v>
      </c>
      <c r="J25" s="1"/>
      <c r="L25" s="1"/>
    </row>
    <row r="27" spans="1:12" x14ac:dyDescent="0.3">
      <c r="B27">
        <f>100*1000</f>
        <v>100000</v>
      </c>
      <c r="J27" s="1"/>
      <c r="L27" s="1"/>
    </row>
  </sheetData>
  <phoneticPr fontId="3" type="noConversion"/>
  <pageMargins left="0.25" right="0.25" top="0.75" bottom="0.75" header="0.5" footer="0.5"/>
  <pageSetup orientation="landscape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 Lab</dc:creator>
  <cp:lastModifiedBy>Roderick Bakker</cp:lastModifiedBy>
  <cp:lastPrinted>2018-06-26T20:26:10Z</cp:lastPrinted>
  <dcterms:created xsi:type="dcterms:W3CDTF">2017-10-10T20:07:27Z</dcterms:created>
  <dcterms:modified xsi:type="dcterms:W3CDTF">2023-11-30T20:40:55Z</dcterms:modified>
</cp:coreProperties>
</file>